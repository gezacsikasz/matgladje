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hovsmodell (75p)" sheetId="1" state="visible" r:id="rId3"/>
    <sheet name="Läs mig" sheetId="2" state="visible" r:id="rId4"/>
    <sheet name="Producenter" sheetId="3" state="visible" r:id="rId5"/>
    <sheet name="Skafferi" sheetId="4" state="visible" r:id="rId6"/>
    <sheet name="Recept" sheetId="5" state="visible" r:id="rId7"/>
    <sheet name="Hemfabrikat" sheetId="6" state="visible" r:id="rId8"/>
    <sheet name="Om grödan" sheetId="7" state="visible" r:id="rId9"/>
    <sheet name="Gårdsguiden – kandidater" sheetId="8" state="visible" r:id="rId10"/>
    <sheet name="Kontaktberikade producenter" sheetId="9" state="visible" r:id="rId11"/>
  </sheets>
  <definedNames>
    <definedName function="false" hidden="true" localSheetId="7" name="_xlnm._FilterDatabase" vbProcedure="false">'Gårdsguiden – kandidater'!$A$1:$P$994</definedName>
    <definedName function="false" hidden="true" localSheetId="8" name="_xlnm._FilterDatabase" vbProcedure="false">'Kontaktberikade producenter'!$A$1:$L$289</definedName>
    <definedName function="false" hidden="true" localSheetId="2" name="_xlnm._FilterDatabase" vbProcedure="false">Producenter!$A$1:$H$43</definedName>
    <definedName function="false" hidden="true" localSheetId="3" name="_xlnm._FilterDatabase" vbProcedure="false">Skafferi!$A$1:$L$43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<sst xmlns="http://schemas.openxmlformats.org/spreadsheetml/2006/main" count="9537" uniqueCount="2810">
  <si>
    <t xml:space="preserve">Behovsmodell – kohort på 75 personer / 30–35 hushåll</t>
  </si>
  <si>
    <t xml:space="preserve">Modellerad efterfrågan, INTE uppmätt data. Bygger på generella svenska konsumtionsgenomsnitt per åldersgrupp (uppskattade av Claude, ej källbelagda per produkt) och ett konsumtionsenhet-system (0,2 för småbarn upp till 1,0 för vuxna). Använd som utgångspunkt för samtal med producenter och för att stämma av mot en enkel medlemsenkät innan volymer avtalas.</t>
  </si>
  <si>
    <t xml:space="preserve">1. Demografi &amp; konsumtionsenheter (KE)</t>
  </si>
  <si>
    <t xml:space="preserve">Åldersgrupp</t>
  </si>
  <si>
    <t xml:space="preserve">Antal personer</t>
  </si>
  <si>
    <t xml:space="preserve">KE-koefficient</t>
  </si>
  <si>
    <t xml:space="preserve">Konsumtionsenheter (KE)</t>
  </si>
  <si>
    <t xml:space="preserve">0–3 år</t>
  </si>
  <si>
    <t xml:space="preserve">4–10 år</t>
  </si>
  <si>
    <t xml:space="preserve">11–17 år</t>
  </si>
  <si>
    <t xml:space="preserve">18–64 år</t>
  </si>
  <si>
    <t xml:space="preserve">65+ år</t>
  </si>
  <si>
    <t xml:space="preserve">Summa</t>
  </si>
  <si>
    <t xml:space="preserve">2. Kohortens uppskattade årsbehov per produkt</t>
  </si>
  <si>
    <t xml:space="preserve">Produkt-ID</t>
  </si>
  <si>
    <t xml:space="preserve">Kategori</t>
  </si>
  <si>
    <t xml:space="preserve">Produkt</t>
  </si>
  <si>
    <t xml:space="preserve">Enhet</t>
  </si>
  <si>
    <t xml:space="preserve">Antagen förbrukning/KE/år</t>
  </si>
  <si>
    <t xml:space="preserve">Kohort årsbehov (mängd)</t>
  </si>
  <si>
    <t xml:space="preserve">Kohort veckobehov (mängd)</t>
  </si>
  <si>
    <t xml:space="preserve">Matglädje mål (kr/enhet)</t>
  </si>
  <si>
    <t xml:space="preserve">Kohort årsvärde (kr)</t>
  </si>
  <si>
    <t xml:space="preserve">Kohort månadsvärde (kr)</t>
  </si>
  <si>
    <t xml:space="preserve">Årsvärde per person (kr)</t>
  </si>
  <si>
    <t xml:space="preserve">0–3 år (mängd/år)</t>
  </si>
  <si>
    <t xml:space="preserve">4–10 år (mängd/år)</t>
  </si>
  <si>
    <t xml:space="preserve">11–17 år (mängd/år)</t>
  </si>
  <si>
    <t xml:space="preserve">18–64 år (mängd/år)</t>
  </si>
  <si>
    <t xml:space="preserve">65+ år (mängd/år)</t>
  </si>
  <si>
    <t xml:space="preserve">GRÖ-01</t>
  </si>
  <si>
    <t xml:space="preserve">Grönsaker</t>
  </si>
  <si>
    <t xml:space="preserve">Potatis</t>
  </si>
  <si>
    <t xml:space="preserve">kr/kg</t>
  </si>
  <si>
    <t xml:space="preserve">GRÖ-02</t>
  </si>
  <si>
    <t xml:space="preserve">Morot</t>
  </si>
  <si>
    <t xml:space="preserve">GRÖ-03</t>
  </si>
  <si>
    <t xml:space="preserve">Gul lök</t>
  </si>
  <si>
    <t xml:space="preserve">GRÖ-04</t>
  </si>
  <si>
    <t xml:space="preserve">Vitkål</t>
  </si>
  <si>
    <t xml:space="preserve">GRÖ-05</t>
  </si>
  <si>
    <t xml:space="preserve">Tomat, växthus</t>
  </si>
  <si>
    <t xml:space="preserve">FRU-01</t>
  </si>
  <si>
    <t xml:space="preserve">Frukt &amp; bär</t>
  </si>
  <si>
    <t xml:space="preserve">Äpple</t>
  </si>
  <si>
    <t xml:space="preserve">FRU-02</t>
  </si>
  <si>
    <t xml:space="preserve">Päron</t>
  </si>
  <si>
    <t xml:space="preserve">FRU-03</t>
  </si>
  <si>
    <t xml:space="preserve">Jordgubbar</t>
  </si>
  <si>
    <t xml:space="preserve">FRU-04</t>
  </si>
  <si>
    <t xml:space="preserve">Blåbär</t>
  </si>
  <si>
    <t xml:space="preserve">BAL-01</t>
  </si>
  <si>
    <t xml:space="preserve">Baljväxter</t>
  </si>
  <si>
    <t xml:space="preserve">Gula ärtor</t>
  </si>
  <si>
    <t xml:space="preserve">BAL-02</t>
  </si>
  <si>
    <t xml:space="preserve">Bruna bönor</t>
  </si>
  <si>
    <t xml:space="preserve">BAL-03</t>
  </si>
  <si>
    <t xml:space="preserve">Åkerböna</t>
  </si>
  <si>
    <t xml:space="preserve">SPA-01</t>
  </si>
  <si>
    <t xml:space="preserve">Spannmål</t>
  </si>
  <si>
    <t xml:space="preserve">Havregryn</t>
  </si>
  <si>
    <t xml:space="preserve">SPA-02</t>
  </si>
  <si>
    <t xml:space="preserve">Rågmjöl</t>
  </si>
  <si>
    <t xml:space="preserve">SPA-03</t>
  </si>
  <si>
    <t xml:space="preserve">Vetemjöl</t>
  </si>
  <si>
    <t xml:space="preserve">SPA-04</t>
  </si>
  <si>
    <t xml:space="preserve">Korngryn</t>
  </si>
  <si>
    <t xml:space="preserve">KÖT-01</t>
  </si>
  <si>
    <t xml:space="preserve">Kött</t>
  </si>
  <si>
    <t xml:space="preserve">Nötfärs</t>
  </si>
  <si>
    <t xml:space="preserve">KÖT-02</t>
  </si>
  <si>
    <t xml:space="preserve">Fläskkotlett</t>
  </si>
  <si>
    <t xml:space="preserve">KÖT-03</t>
  </si>
  <si>
    <t xml:space="preserve">Kycklingfilé</t>
  </si>
  <si>
    <t xml:space="preserve">KÖT-04</t>
  </si>
  <si>
    <t xml:space="preserve">Lammkött</t>
  </si>
  <si>
    <t xml:space="preserve">FIS-01</t>
  </si>
  <si>
    <t xml:space="preserve">Fisk</t>
  </si>
  <si>
    <t xml:space="preserve">Odlad lax/regnbåge</t>
  </si>
  <si>
    <t xml:space="preserve">FIS-02</t>
  </si>
  <si>
    <t xml:space="preserve">Strömming/sill</t>
  </si>
  <si>
    <t xml:space="preserve">FIS-03</t>
  </si>
  <si>
    <t xml:space="preserve">Gös/abborre</t>
  </si>
  <si>
    <t xml:space="preserve">MEJ-01</t>
  </si>
  <si>
    <t xml:space="preserve">Mejeri &amp; ägg</t>
  </si>
  <si>
    <t xml:space="preserve">Mjölk</t>
  </si>
  <si>
    <t xml:space="preserve">kr/l</t>
  </si>
  <si>
    <t xml:space="preserve">MEJ-02</t>
  </si>
  <si>
    <t xml:space="preserve">Smör</t>
  </si>
  <si>
    <t xml:space="preserve">MEJ-03</t>
  </si>
  <si>
    <t xml:space="preserve">Ägg</t>
  </si>
  <si>
    <t xml:space="preserve">kr/förp</t>
  </si>
  <si>
    <t xml:space="preserve">MEJ-04</t>
  </si>
  <si>
    <t xml:space="preserve">Hushållsost</t>
  </si>
  <si>
    <t xml:space="preserve">NÖT-01</t>
  </si>
  <si>
    <t xml:space="preserve">Nötter</t>
  </si>
  <si>
    <t xml:space="preserve">Valnötter</t>
  </si>
  <si>
    <t xml:space="preserve">KRY-01</t>
  </si>
  <si>
    <t xml:space="preserve">Kryddor/örter</t>
  </si>
  <si>
    <t xml:space="preserve">Persilja</t>
  </si>
  <si>
    <t xml:space="preserve">kr/knippe</t>
  </si>
  <si>
    <t xml:space="preserve">KRY-02</t>
  </si>
  <si>
    <t xml:space="preserve">Dill</t>
  </si>
  <si>
    <t xml:space="preserve">KRY-03</t>
  </si>
  <si>
    <t xml:space="preserve">Timjan</t>
  </si>
  <si>
    <t xml:space="preserve">KRY-04</t>
  </si>
  <si>
    <t xml:space="preserve">Svartpeppar</t>
  </si>
  <si>
    <t xml:space="preserve">OLJ-01</t>
  </si>
  <si>
    <t xml:space="preserve">Matolja</t>
  </si>
  <si>
    <t xml:space="preserve">Rapsolja</t>
  </si>
  <si>
    <t xml:space="preserve">OLJ-02</t>
  </si>
  <si>
    <t xml:space="preserve">Olivolja</t>
  </si>
  <si>
    <t xml:space="preserve">VIN-01</t>
  </si>
  <si>
    <t xml:space="preserve">Vinäger/syrat</t>
  </si>
  <si>
    <t xml:space="preserve">Äppelcidervinäger</t>
  </si>
  <si>
    <t xml:space="preserve">VIN-02</t>
  </si>
  <si>
    <t xml:space="preserve">Surkål</t>
  </si>
  <si>
    <t xml:space="preserve">SVA-01</t>
  </si>
  <si>
    <t xml:space="preserve">Svamp</t>
  </si>
  <si>
    <t xml:space="preserve">Champinjon</t>
  </si>
  <si>
    <t xml:space="preserve">SVA-02</t>
  </si>
  <si>
    <t xml:space="preserve">Kantareller</t>
  </si>
  <si>
    <t xml:space="preserve">SAL-01</t>
  </si>
  <si>
    <t xml:space="preserve">Salt</t>
  </si>
  <si>
    <t xml:space="preserve">Havssalt</t>
  </si>
  <si>
    <t xml:space="preserve">SÖT-01</t>
  </si>
  <si>
    <t xml:space="preserve">Sötning</t>
  </si>
  <si>
    <t xml:space="preserve">Honung</t>
  </si>
  <si>
    <t xml:space="preserve">BRÖ-01</t>
  </si>
  <si>
    <t xml:space="preserve">Bröd</t>
  </si>
  <si>
    <t xml:space="preserve">Surdegsbröd</t>
  </si>
  <si>
    <t xml:space="preserve">BRÖ-02</t>
  </si>
  <si>
    <t xml:space="preserve">Knäckebröd/rågbröd</t>
  </si>
  <si>
    <t xml:space="preserve">3. Summering per kategori (kohortens årsvärde)</t>
  </si>
  <si>
    <t xml:space="preserve">Kohort veckovärde (kr)</t>
  </si>
  <si>
    <t xml:space="preserve">TOTALT</t>
  </si>
  <si>
    <t xml:space="preserve">Matglädje – skafferi &amp; underlag</t>
  </si>
  <si>
    <t xml:space="preserve">Arbetsdokument, byggt stegvis. Skafferi-bladet är ifyllt; övriga blad är mallar.</t>
  </si>
  <si>
    <t xml:space="preserve">Struktur</t>
  </si>
  <si>
    <t xml:space="preserve">Skafferi</t>
  </si>
  <si>
    <t xml:space="preserve">Kategori, produkt och prisjämförelse (Butik / Ekobutik / REKO / Matglädje-mål). Grunden alla andra blad länkar till via Produkt-ID.</t>
  </si>
  <si>
    <t xml:space="preserve">Producenter</t>
  </si>
  <si>
    <t xml:space="preserve">Mall – vilken producent som levererar respektive produkt.</t>
  </si>
  <si>
    <t xml:space="preserve">Recept</t>
  </si>
  <si>
    <t xml:space="preserve">Mall – recept kopplade till skafferiets produkter.</t>
  </si>
  <si>
    <t xml:space="preserve">Hemfabrikat</t>
  </si>
  <si>
    <t xml:space="preserve">Mall – råvaror som blir till nya basvaror (t.ex. havre till havremjölk).</t>
  </si>
  <si>
    <t xml:space="preserve">Om grödan</t>
  </si>
  <si>
    <t xml:space="preserve">Mall – säsong, ursprung och kort fakta per produkt.</t>
  </si>
  <si>
    <t xml:space="preserve">Kategori-kod + löpnummer, t.ex. GRÖ-01. Används som nyckel mellan alla blad.</t>
  </si>
  <si>
    <t xml:space="preserve">Prissäkerhet (Skafferi-bladet)</t>
  </si>
  <si>
    <t xml:space="preserve">Verifierat</t>
  </si>
  <si>
    <t xml:space="preserve">Minst ett av priserna är grundat i faktisk sökning (t.ex. ICA-pris, REKO-rapport, biodlarpris).</t>
  </si>
  <si>
    <t xml:space="preserve">Uppskattat (mönster)</t>
  </si>
  <si>
    <t xml:space="preserve">Inget pris sökt specifikt för raden – bygger på det mönster som identifierats för kategorin (REKO/eko generellt dyrare för hantverksmejeri och kött, jämförbart för rotfrukt, etc). Behandla som riktning, inte exakt siffra.</t>
  </si>
  <si>
    <t xml:space="preserve">Matglädje-kolumnen</t>
  </si>
  <si>
    <t xml:space="preserve">Målnivå (hypotes), inte uppmätt pris. Bygger på resonemanget att Matglädje är billigare att sälja till än en enskild REKO-kund (färre transaktioner, ingen marknadsföring, betalningssäkerhet) – cirka 5-15% under REKO för lokalt sourcebara varor.</t>
  </si>
  <si>
    <t xml:space="preserve">Färgkod i mallbladen</t>
  </si>
  <si>
    <t xml:space="preserve">Ljusgul rad</t>
  </si>
  <si>
    <t xml:space="preserve">Exempelrad – visar förväntat format. Ersätt eller komplettera med riktiga rader.</t>
  </si>
  <si>
    <t xml:space="preserve">Producenter-bladet</t>
  </si>
  <si>
    <t xml:space="preserve">Grön rad – 'Kandidat identifierad'</t>
  </si>
  <si>
    <t xml:space="preserve">Ett namngivet, verkligt företag hittat via sökning. Inte kontaktat eller bekräftat av Matglädje – ren research, inte en relation.</t>
  </si>
  <si>
    <t xml:space="preserve">Grå rad – 'Ingen specifik kandidat'</t>
  </si>
  <si>
    <t xml:space="preserve">Ingen enskild producent verifierad än. Kolumnen Källa pekar på en sökbar katalog (t.ex. gardsnara.se, gardsbutiker.se) att gå vidare på själv.</t>
  </si>
  <si>
    <t xml:space="preserve">Grå rad – 'Ej relevant'</t>
  </si>
  <si>
    <t xml:space="preserve">Ren importvara (t.ex. valnötter, olivolja) – ingen svensk direktkälla att leta efter.</t>
  </si>
  <si>
    <t xml:space="preserve">Viktigt</t>
  </si>
  <si>
    <t xml:space="preserve">Ingen av kandidaterna är kontaktad eller har tackat ja. Detta är en researchlista att jobba vidare på, inte bekräftade leverantörer.</t>
  </si>
  <si>
    <t xml:space="preserve">Gårdsguiden – kandidater</t>
  </si>
  <si>
    <t xml:space="preserve">993 rader skrapade från gardsguiden.se/gardar (2026-08-16). Namn/ort/län/kategori/öppettider extraherat ur sidans textlista med ett Python-skript (regex-baserad tolkning, inte en officiell API/export). ~18 rader är flaggade i kolumnen "Granska" där tolkningen är osäker (t.ex. gårdsnamn som innehåller ett länsnamn, vilket kan lura parsern) – kontrollera dessa manuellt. Kategorikolumnen "Skafferi-kategori" är en grov koppling mellan Gårdsguidens taggar och Skafferi-fliken's kategorier (t.ex. "kött"-&gt;Kött, "grönsaker"-&gt;Grönsaker) – det är INTE en koppling till enskilda Produkt-ID, eftersom Gårdsguiden inte anger vilka specifika produkter (t.ex. potatis vs morot) en gård säljer. Använd fliken som en kandidatlista att korsa mot Producenter-fliken när ni letar leverantör per kategori.</t>
  </si>
  <si>
    <t xml:space="preserve">Kontaktberikade producenter</t>
  </si>
  <si>
    <t xml:space="preserve">288 producenter/gårdar berikade med webb/telefon/e-post/adress (2026-08-18) via research över öppna källor (KRAV:s gårdsbutiksguide, gardsbutiker-skane.se, regionala matnätverk som MAT-rundan Kronoberg, Sörmlands Matkluster, Smaka på Västmanland, Fjärdhundraland, Visit Halland/Blekinge/Gotland/Öland, bolagsregister m.fl. - inte gardsguiden.se, som blockerar automatiserad åtkomst). Se ny flik "Kontaktberikade producenter" för hela listan. Av dessa har 162 kunnat matchas mot befintliga rader i "Gårdsguiden – kandidater" (kolumnerna Webb/Telefon/Epost/Adress (berikad) längst till höger där); resten är nya poster utanför den ursprungliga skrapningen (t.ex. hittade via regionala kataloger). Kontrollera "Anmärkning"-kolumnen: några poster är flaggade som ej primärproducenter, har motstridiga uppgifter, eller avkortade telefonnummer som bör verifieras innan utskick.</t>
  </si>
  <si>
    <t xml:space="preserve">Produkt (auto)</t>
  </si>
  <si>
    <t xml:space="preserve">Producent/kandidat</t>
  </si>
  <si>
    <t xml:space="preserve">Region</t>
  </si>
  <si>
    <t xml:space="preserve">Webb/kontakt</t>
  </si>
  <si>
    <t xml:space="preserve">Leveranssätt (enl. hemsida)</t>
  </si>
  <si>
    <t xml:space="preserve">Status</t>
  </si>
  <si>
    <t xml:space="preserve">Källa</t>
  </si>
  <si>
    <t xml:space="preserve">Everhags Gårdsbutik</t>
  </si>
  <si>
    <t xml:space="preserve">Vedum, Västergötland</t>
  </si>
  <si>
    <t xml:space="preserve">everhagsgardsbutik.se</t>
  </si>
  <si>
    <t xml:space="preserve">Gårdsbutik, självbetjäning, alltid öppet</t>
  </si>
  <si>
    <t xml:space="preserve">Kandidat identifierad – ej kontaktad</t>
  </si>
  <si>
    <t xml:space="preserve">KRAV:s gårdsbutiksguide</t>
  </si>
  <si>
    <t xml:space="preserve">Gröna Gårdar AB</t>
  </si>
  <si>
    <t xml:space="preserve">Ljungskile, Bohuslän</t>
  </si>
  <si>
    <t xml:space="preserve">-</t>
  </si>
  <si>
    <t xml:space="preserve">Gårdsbutik tis-lör</t>
  </si>
  <si>
    <t xml:space="preserve">KRAV:s gårdsbutiksguide (säsongsgrönt, ospecificerat sortiment)</t>
  </si>
  <si>
    <t xml:space="preserve">Ingen specifik kandidat – sök via källa</t>
  </si>
  <si>
    <t xml:space="preserve">Sök gardsnara.se, filter Frukt och grönt &gt; Tomat, region efter val</t>
  </si>
  <si>
    <t xml:space="preserve">Sök gardsnara.se / gardsbutiker.se, kategori Frukt och grönt</t>
  </si>
  <si>
    <t xml:space="preserve">Sök gardsnara.se / gardsbutiker.se, kategori Frukt och grönt (självplock vanligt)</t>
  </si>
  <si>
    <t xml:space="preserve">Sök gardsnara.se, eller lokal bärplockare/naturbruksskola för vilda bär</t>
  </si>
  <si>
    <t xml:space="preserve">Sök matvision.se / gardsnara.se, kategori Bröd och spannmål (baljväxter ofta samodlat)</t>
  </si>
  <si>
    <t xml:space="preserve">Sök matvision.se / gardsnara.se, kategori Bröd och spannmål</t>
  </si>
  <si>
    <t xml:space="preserve">Sök matvision.se / gardsnara.se, kategori Bröd och spannmål (nischodling, växande)</t>
  </si>
  <si>
    <t xml:space="preserve">Sök gardsnara.se, kategori Bröd och spannmål, filtrera på kvarn/mjöl</t>
  </si>
  <si>
    <t xml:space="preserve">Sök gardsnara.se, kategori Bröd och spannmål</t>
  </si>
  <si>
    <t xml:space="preserve">Mostorps Gård</t>
  </si>
  <si>
    <t xml:space="preserve">Falkenberg-Halmstad, Halland</t>
  </si>
  <si>
    <t xml:space="preserve">mostorpsgard.se</t>
  </si>
  <si>
    <t xml:space="preserve">Gårdsbutik ons-lör, eget gårdsslakteri</t>
  </si>
  <si>
    <t xml:space="preserve">Webbsökning (gårdssajt)</t>
  </si>
  <si>
    <t xml:space="preserve">Fröö Gård</t>
  </si>
  <si>
    <t xml:space="preserve">Norsholm, Östergötland</t>
  </si>
  <si>
    <t xml:space="preserve">froogard.se</t>
  </si>
  <si>
    <t xml:space="preserve">Gårdsbutik + obemannad butik (Kött&amp;Mat)</t>
  </si>
  <si>
    <t xml:space="preserve">Ingen kandidat med kyckling hittad i denna sökning – sök gardsnara.se kategori Kött, chark och fågel</t>
  </si>
  <si>
    <t xml:space="preserve">Sök gardsnara.se kategori Fisk och skaldjur, eller lokalt vattenbruk i regionen</t>
  </si>
  <si>
    <t xml:space="preserve">Sök lokal fiskauktion/hamn (t.ex. Simrishamn, Västervik) eller gardsnara.se</t>
  </si>
  <si>
    <t xml:space="preserve">Sök lokal insjöfiskare, ofta ej digitalt synliga – fråga i bygden eller fiskeförening</t>
  </si>
  <si>
    <t xml:space="preserve">Skottorps Mejeri</t>
  </si>
  <si>
    <t xml:space="preserve">Laholm, Halland</t>
  </si>
  <si>
    <t xml:space="preserve">Gårdsbutik vid Skottorps Slott</t>
  </si>
  <si>
    <t xml:space="preserve">Webbsökning / matvision.se</t>
  </si>
  <si>
    <t xml:space="preserve">Löt Gårdsmejeri</t>
  </si>
  <si>
    <t xml:space="preserve">Gammalkil, Östergötland</t>
  </si>
  <si>
    <t xml:space="preserve">lot-gardsmejeri.se</t>
  </si>
  <si>
    <t xml:space="preserve">Gårdsbutik, ring innan</t>
  </si>
  <si>
    <t xml:space="preserve">KRAV:s gårdsbutiksguide (ekologiska ägg i sortiment)</t>
  </si>
  <si>
    <t xml:space="preserve">Webbsökning (ost serverades vid Nobelmiddagen 2024)</t>
  </si>
  <si>
    <t xml:space="preserve">Ej relevant (importvara)</t>
  </si>
  <si>
    <t xml:space="preserve">Ren importvara, ingen svensk odling av relevans</t>
  </si>
  <si>
    <t xml:space="preserve">Gunnarshögs Gård</t>
  </si>
  <si>
    <t xml:space="preserve">Österlen, Skåne</t>
  </si>
  <si>
    <t xml:space="preserve">gunnarshog.se</t>
  </si>
  <si>
    <t xml:space="preserve">Gårdsbutik + nätbutik, säsongsöppet</t>
  </si>
  <si>
    <t xml:space="preserve">Webbsökning (säljer torkade svenska örter)</t>
  </si>
  <si>
    <t xml:space="preserve">Webbsökning, alt. Mårdängs Kallpressade Rapsolja (Gävle)</t>
  </si>
  <si>
    <t xml:space="preserve">Ren importvara, ingen svensk variant</t>
  </si>
  <si>
    <t xml:space="preserve">Gårdsbutik + nätbutik</t>
  </si>
  <si>
    <t xml:space="preserve">Webbsökning (vinäger i gårdsbutikens sortiment)</t>
  </si>
  <si>
    <t xml:space="preserve">Billig att göra själv (se Hemfabrikat-bladet) – producent ej nödvändig</t>
  </si>
  <si>
    <t xml:space="preserve">Sök gardsnara.se / producenter.se, kategori Svamp</t>
  </si>
  <si>
    <t xml:space="preserve">Säsongsberoende, självplock möjligt – annars lokal svampplockare/förening</t>
  </si>
  <si>
    <t xml:space="preserve">Möjlig småskalig tillverkare i Alingsås nämnd i sökträff (matvision.se) men namn ej bekräftat – kräver uppföljning</t>
  </si>
  <si>
    <t xml:space="preserve">Lovö Honung</t>
  </si>
  <si>
    <t xml:space="preserve">Sundbyberg</t>
  </si>
  <si>
    <t xml:space="preserve">lovohonung.se</t>
  </si>
  <si>
    <t xml:space="preserve">Familjeföretag, biodling sedan 1979</t>
  </si>
  <si>
    <t xml:space="preserve">Webbsökning, alt. Gunnarshögs Gård eller Mårdängs (båda säljer honung också)</t>
  </si>
  <si>
    <t xml:space="preserve">Källdalens Trädgårdar</t>
  </si>
  <si>
    <t xml:space="preserve">Gotland</t>
  </si>
  <si>
    <t xml:space="preserve">gardsbutiker.se-listning</t>
  </si>
  <si>
    <t xml:space="preserve">Gårdsbutik + bageri, ekologiskt mjöl</t>
  </si>
  <si>
    <t xml:space="preserve">Webbsökning (gardsbutiker.se)</t>
  </si>
  <si>
    <t xml:space="preserve">Sök gardsnara.se / matvision.se, kategori Bröd och spannmål, filtrera kvarn/bageri</t>
  </si>
  <si>
    <t xml:space="preserve">Butik (kr)</t>
  </si>
  <si>
    <t xml:space="preserve">Ekobutik (kr)</t>
  </si>
  <si>
    <t xml:space="preserve">REKO (kr)</t>
  </si>
  <si>
    <t xml:space="preserve">Matglädje mål (kr)</t>
  </si>
  <si>
    <t xml:space="preserve">vs Butik (%)</t>
  </si>
  <si>
    <t xml:space="preserve">vs REKO (%)</t>
  </si>
  <si>
    <t xml:space="preserve">Säkerhet</t>
  </si>
  <si>
    <t xml:space="preserve">Kommentar</t>
  </si>
  <si>
    <t xml:space="preserve">Växthusodling kostar oavsett kanal</t>
  </si>
  <si>
    <t xml:space="preserve">Säsong</t>
  </si>
  <si>
    <t xml:space="preserve">Vilda/lokala klart billigare än odlat/import</t>
  </si>
  <si>
    <t xml:space="preserve">Ovanligt med svenskodlat</t>
  </si>
  <si>
    <t xml:space="preserve">Växande svensk nischodling</t>
  </si>
  <si>
    <t xml:space="preserve">Eko-påslag ca 44% verifierat</t>
  </si>
  <si>
    <t xml:space="preserve">Långsamväxande raser dyrare</t>
  </si>
  <si>
    <t xml:space="preserve">Redan premium även i butik</t>
  </si>
  <si>
    <t xml:space="preserve">Ofta billigare från lokal fiskare i säsong</t>
  </si>
  <si>
    <t xml:space="preserve">Knappt i vanlig butik, ingen bra eko-referens</t>
  </si>
  <si>
    <t xml:space="preserve">Eko-påslag ca 42% verifierat</t>
  </si>
  <si>
    <t xml:space="preserve">Ren importvara, ingen meningsfull REKO-referens</t>
  </si>
  <si>
    <t xml:space="preserve">Ren importvara</t>
  </si>
  <si>
    <t xml:space="preserve">Billig att göra själv</t>
  </si>
  <si>
    <t xml:space="preserve">Säsongsberoende, självplock kan vara gratis</t>
  </si>
  <si>
    <t xml:space="preserve">REKO-pris (biodlare, ~200 kr/kg) verifierat</t>
  </si>
  <si>
    <t xml:space="preserve">Butikspris ICA-nivå; hantverksbageri dyrare pga tid/jäsning</t>
  </si>
  <si>
    <t xml:space="preserve">Lokala kvarnar/bagerier ofta märkbart dyrare</t>
  </si>
  <si>
    <t xml:space="preserve">Recept-ID</t>
  </si>
  <si>
    <t xml:space="preserve">Receptnamn</t>
  </si>
  <si>
    <t xml:space="preserve">Huvud-Produkt-ID</t>
  </si>
  <si>
    <t xml:space="preserve">Huvudingrediens (auto)</t>
  </si>
  <si>
    <t xml:space="preserve">Övriga ingredienser</t>
  </si>
  <si>
    <t xml:space="preserve">Portioner</t>
  </si>
  <si>
    <t xml:space="preserve">Tidsåtgång</t>
  </si>
  <si>
    <t xml:space="preserve">Anteckning</t>
  </si>
  <si>
    <t xml:space="preserve">REC-01</t>
  </si>
  <si>
    <t xml:space="preserve">Rotfruktsgryta</t>
  </si>
  <si>
    <t xml:space="preserve">Morot, gul lök, buljong</t>
  </si>
  <si>
    <t xml:space="preserve">4</t>
  </si>
  <si>
    <t xml:space="preserve">45 min</t>
  </si>
  <si>
    <t xml:space="preserve">Bra  fixa själv-recept, tål frysning</t>
  </si>
  <si>
    <t xml:space="preserve">REC-02</t>
  </si>
  <si>
    <t xml:space="preserve">Havregrynsgröt med honung</t>
  </si>
  <si>
    <t xml:space="preserve">Mjölk, salt, SÖT-01 honung</t>
  </si>
  <si>
    <t xml:space="preserve">2</t>
  </si>
  <si>
    <t xml:space="preserve">10 min</t>
  </si>
  <si>
    <t xml:space="preserve">Klassiker, snabb</t>
  </si>
  <si>
    <t xml:space="preserve">Råvara Produkt-ID</t>
  </si>
  <si>
    <t xml:space="preserve">Råvara (auto)</t>
  </si>
  <si>
    <t xml:space="preserve">Blir till</t>
  </si>
  <si>
    <t xml:space="preserve">Metod (kort)</t>
  </si>
  <si>
    <t xml:space="preserve">Hållbarhet/lagring</t>
  </si>
  <si>
    <t xml:space="preserve">Havremjölk</t>
  </si>
  <si>
    <t xml:space="preserve">Blötlägg, mixa, sila</t>
  </si>
  <si>
    <t xml:space="preserve">15 min + kylning</t>
  </si>
  <si>
    <t xml:space="preserve">3-4 dagar kylt</t>
  </si>
  <si>
    <t xml:space="preserve">Ger även havrepulp till bakning</t>
  </si>
  <si>
    <t xml:space="preserve">Strimla, salta, pressa, jäs</t>
  </si>
  <si>
    <t xml:space="preserve">30 min + 1-4 veckors jäsning</t>
  </si>
  <si>
    <t xml:space="preserve">Flera månader kylt</t>
  </si>
  <si>
    <t xml:space="preserve">Bra fixa-själv-produkt kopplad till VIN-02</t>
  </si>
  <si>
    <t xml:space="preserve">Säsong i Sverige</t>
  </si>
  <si>
    <t xml:space="preserve">Odlingsregion</t>
  </si>
  <si>
    <t xml:space="preserve">Näringsprofil (kort)</t>
  </si>
  <si>
    <t xml:space="preserve">Visste du att...</t>
  </si>
  <si>
    <t xml:space="preserve">Aug-okt (skörd), lagringsbar året runt</t>
  </si>
  <si>
    <t xml:space="preserve">Hela landet, mest Skåne/Halland</t>
  </si>
  <si>
    <t xml:space="preserve">Kolhydrater, kalium, C-vitamin</t>
  </si>
  <si>
    <t xml:space="preserve">Potatis kom till Sverige på 1600-talet men blev allmän mat först på 1800-talet</t>
  </si>
  <si>
    <t xml:space="preserve">Jul-sep</t>
  </si>
  <si>
    <t xml:space="preserve">Mellansverige, blandskog</t>
  </si>
  <si>
    <t xml:space="preserve">Fiberrik, D-vitamin (soltorkad)</t>
  </si>
  <si>
    <t xml:space="preserve">Kantareller bildar mykorrhiza med träd och kan inte odlas kommersiellt i stor skala</t>
  </si>
  <si>
    <t xml:space="preserve">Namn</t>
  </si>
  <si>
    <t xml:space="preserve">Ort</t>
  </si>
  <si>
    <t xml:space="preserve">Län</t>
  </si>
  <si>
    <t xml:space="preserve">Gårdsguiden-kategori(er)</t>
  </si>
  <si>
    <t xml:space="preserve">Försäljningstyp</t>
  </si>
  <si>
    <t xml:space="preserve">Öppettider</t>
  </si>
  <si>
    <t xml:space="preserve">Skafferi-kategori (förslag)</t>
  </si>
  <si>
    <t xml:space="preserve">Dryckestagg (ej i skafferiet)</t>
  </si>
  <si>
    <t xml:space="preserve">Granska</t>
  </si>
  <si>
    <t xml:space="preserve">Webb</t>
  </si>
  <si>
    <t xml:space="preserve">Telefon</t>
  </si>
  <si>
    <t xml:space="preserve">Epost</t>
  </si>
  <si>
    <t xml:space="preserve">Adress (berikad)</t>
  </si>
  <si>
    <t xml:space="preserve">Kohort årsvärde – kategori (kr)</t>
  </si>
  <si>
    <t xml:space="preserve">Kohort månadsvärde – kategori (kr)</t>
  </si>
  <si>
    <t xml:space="preserve">3 Små Rum</t>
  </si>
  <si>
    <t xml:space="preserve">Göteborg</t>
  </si>
  <si>
    <t xml:space="preserve">Västra Götaland</t>
  </si>
  <si>
    <t xml:space="preserve">öl</t>
  </si>
  <si>
    <t xml:space="preserve">Provsmakning</t>
  </si>
  <si>
    <t xml:space="preserve">16:00–23:00</t>
  </si>
  <si>
    <t xml:space="preserve">https://www.gardsguiden.se/gardar</t>
  </si>
  <si>
    <t xml:space="preserve">AB Hembergs Trädgårdsprodukter</t>
  </si>
  <si>
    <t xml:space="preserve">Halmstad</t>
  </si>
  <si>
    <t xml:space="preserve">Halland</t>
  </si>
  <si>
    <t xml:space="preserve">grönsaker</t>
  </si>
  <si>
    <t xml:space="preserve">07:00–12:00</t>
  </si>
  <si>
    <t xml:space="preserve">Abbes Mejeri</t>
  </si>
  <si>
    <t xml:space="preserve">Ronneby</t>
  </si>
  <si>
    <t xml:space="preserve">Blekinge</t>
  </si>
  <si>
    <t xml:space="preserve">mejeri</t>
  </si>
  <si>
    <t xml:space="preserve">10:00–18:00</t>
  </si>
  <si>
    <t xml:space="preserve">Abraham Hill</t>
  </si>
  <si>
    <t xml:space="preserve">Skåne</t>
  </si>
  <si>
    <t xml:space="preserve">Gårdsförsäljning</t>
  </si>
  <si>
    <t xml:space="preserve">Adelsåsen Gårdsbutik</t>
  </si>
  <si>
    <t xml:space="preserve">Stängt idag</t>
  </si>
  <si>
    <t xml:space="preserve">Adolfsnäs Handelsträdgård</t>
  </si>
  <si>
    <t xml:space="preserve">Vadstena</t>
  </si>
  <si>
    <t xml:space="preserve">Östergötland</t>
  </si>
  <si>
    <t xml:space="preserve">10:00–17:00</t>
  </si>
  <si>
    <t xml:space="preserve">adolfsnas.se</t>
  </si>
  <si>
    <t xml:space="preserve">utanför Vadstena</t>
  </si>
  <si>
    <t xml:space="preserve">Aftonmora Friesians &amp; Vingård</t>
  </si>
  <si>
    <t xml:space="preserve">vin</t>
  </si>
  <si>
    <t xml:space="preserve">Agetomta Gård</t>
  </si>
  <si>
    <t xml:space="preserve">Norrköping</t>
  </si>
  <si>
    <t xml:space="preserve">agetomtagard.com</t>
  </si>
  <si>
    <t xml:space="preserve">Agnesbergs Gårdsbutik</t>
  </si>
  <si>
    <t xml:space="preserve">Västerljung</t>
  </si>
  <si>
    <t xml:space="preserve">Ahlafors Bryggerier</t>
  </si>
  <si>
    <t xml:space="preserve">Alboga Choklad</t>
  </si>
  <si>
    <t xml:space="preserve">Ale Kött AB</t>
  </si>
  <si>
    <t xml:space="preserve">kött</t>
  </si>
  <si>
    <t xml:space="preserve">Göteborgsvägen 219, Ale</t>
  </si>
  <si>
    <t xml:space="preserve">Alekärr Ekologiska Gård</t>
  </si>
  <si>
    <t xml:space="preserve">Ale</t>
  </si>
  <si>
    <t xml:space="preserve">Alliaria Bryggeri</t>
  </si>
  <si>
    <t xml:space="preserve">Västerås</t>
  </si>
  <si>
    <t xml:space="preserve">Västmanland</t>
  </si>
  <si>
    <t xml:space="preserve">Almnäs Bruk - Ysteri och Gårdsförsäljning: Självbetjäning</t>
  </si>
  <si>
    <t xml:space="preserve">Hjo</t>
  </si>
  <si>
    <t xml:space="preserve">möjlig sammanslagning av två poster</t>
  </si>
  <si>
    <t xml:space="preserve">Almviks Mathantverk (Butiken)</t>
  </si>
  <si>
    <t xml:space="preserve">Alsike trädgård</t>
  </si>
  <si>
    <t xml:space="preserve">Knivsta</t>
  </si>
  <si>
    <t xml:space="preserve">Uppsala</t>
  </si>
  <si>
    <t xml:space="preserve">alsiketradgard.se</t>
  </si>
  <si>
    <t xml:space="preserve">0700-45 37 80</t>
  </si>
  <si>
    <t xml:space="preserve">kundtjanst@alsiketradgard.se</t>
  </si>
  <si>
    <t xml:space="preserve">Alsike Prästgård, 741 92 Knivsta</t>
  </si>
  <si>
    <t xml:space="preserve">Alskute Farm &amp; Brewery AB</t>
  </si>
  <si>
    <t xml:space="preserve">Andréns Bageri Sturkö</t>
  </si>
  <si>
    <t xml:space="preserve">bakat</t>
  </si>
  <si>
    <t xml:space="preserve">Gårdsförsäljning; Provsmakning</t>
  </si>
  <si>
    <t xml:space="preserve">Angelikas Gård</t>
  </si>
  <si>
    <t xml:space="preserve">Annas Gårdsbutik och Mejeri</t>
  </si>
  <si>
    <t xml:space="preserve">06:30–19:00</t>
  </si>
  <si>
    <t xml:space="preserve">annaslantdrommar.se</t>
  </si>
  <si>
    <t xml:space="preserve">070-533 73 93</t>
  </si>
  <si>
    <t xml:space="preserve">Småskolevägen 8, 388 94 Vassmolösa</t>
  </si>
  <si>
    <t xml:space="preserve">Kalmar</t>
  </si>
  <si>
    <t xml:space="preserve">Annebergs Gård</t>
  </si>
  <si>
    <t xml:space="preserve">Varberg</t>
  </si>
  <si>
    <t xml:space="preserve">Annebergs Vingård</t>
  </si>
  <si>
    <t xml:space="preserve">Annedals Gård</t>
  </si>
  <si>
    <t xml:space="preserve">Vellinge</t>
  </si>
  <si>
    <t xml:space="preserve">13:00–18:00</t>
  </si>
  <si>
    <t xml:space="preserve">Arentorps Bärodling AB</t>
  </si>
  <si>
    <t xml:space="preserve">Vara</t>
  </si>
  <si>
    <t xml:space="preserve">Arkadien Mat &amp; trädgård</t>
  </si>
  <si>
    <t xml:space="preserve">Gnesta</t>
  </si>
  <si>
    <t xml:space="preserve">Södermanland</t>
  </si>
  <si>
    <t xml:space="preserve">Arla Foods</t>
  </si>
  <si>
    <t xml:space="preserve">07:00–16:00</t>
  </si>
  <si>
    <t xml:space="preserve">Arla Kalmar Mejeri - Ostlager</t>
  </si>
  <si>
    <t xml:space="preserve">06:00–16:00</t>
  </si>
  <si>
    <t xml:space="preserve">Aschebergsgatans Ost &amp; Delikatesser</t>
  </si>
  <si>
    <t xml:space="preserve">aschebergsgatansost.se</t>
  </si>
  <si>
    <t xml:space="preserve">031-16 77 72</t>
  </si>
  <si>
    <t xml:space="preserve">Aschebergsgatan 36, 411 33 Göteborg</t>
  </si>
  <si>
    <t xml:space="preserve">Asketorps Gård</t>
  </si>
  <si>
    <t xml:space="preserve">Skövde</t>
  </si>
  <si>
    <t xml:space="preserve">06:00–19:00</t>
  </si>
  <si>
    <t xml:space="preserve">Aspö gård</t>
  </si>
  <si>
    <t xml:space="preserve">Aspö mad vin &amp; café</t>
  </si>
  <si>
    <t xml:space="preserve">Assarsson Trädgård AB</t>
  </si>
  <si>
    <t xml:space="preserve">Motala</t>
  </si>
  <si>
    <t xml:space="preserve">08:00–18:00</t>
  </si>
  <si>
    <t xml:space="preserve">Ást Bryggeri AB</t>
  </si>
  <si>
    <t xml:space="preserve">Ateljé Leja, Gamla Bryggeriet i Weinge anno 1869</t>
  </si>
  <si>
    <t xml:space="preserve">Laholm</t>
  </si>
  <si>
    <t xml:space="preserve">Attanäs Gård</t>
  </si>
  <si>
    <t xml:space="preserve">11:00–18:00</t>
  </si>
  <si>
    <t xml:space="preserve">Aviatören restaurang, café och mathantverk</t>
  </si>
  <si>
    <t xml:space="preserve">Linköping</t>
  </si>
  <si>
    <t xml:space="preserve">Babettes Kafferi &amp; Bageri</t>
  </si>
  <si>
    <t xml:space="preserve">08:00–19:00</t>
  </si>
  <si>
    <t xml:space="preserve">Backa Köksträdgård</t>
  </si>
  <si>
    <t xml:space="preserve">10:00–19:00</t>
  </si>
  <si>
    <t xml:space="preserve">Backagården Café, Vin &amp; Bistro på Österlen</t>
  </si>
  <si>
    <t xml:space="preserve">Backgården i Raus</t>
  </si>
  <si>
    <t xml:space="preserve">Helsingborg</t>
  </si>
  <si>
    <t xml:space="preserve">Bageri Säf</t>
  </si>
  <si>
    <t xml:space="preserve">Falkenberg</t>
  </si>
  <si>
    <t xml:space="preserve">07:00–17:00</t>
  </si>
  <si>
    <t xml:space="preserve">Bageriet Mat &amp; Bar</t>
  </si>
  <si>
    <t xml:space="preserve">Visby</t>
  </si>
  <si>
    <t xml:space="preserve">11:30–02:00</t>
  </si>
  <si>
    <t xml:space="preserve">Bar La Lune</t>
  </si>
  <si>
    <t xml:space="preserve">17:00–23:00</t>
  </si>
  <si>
    <t xml:space="preserve">BaraBraMat - Ekologisk Livsmedelsbutik</t>
  </si>
  <si>
    <t xml:space="preserve">Barkarö Handelsträdgård AB</t>
  </si>
  <si>
    <t xml:space="preserve">Barkhults Gård</t>
  </si>
  <si>
    <t xml:space="preserve">Älmhult</t>
  </si>
  <si>
    <t xml:space="preserve">Kronoberg</t>
  </si>
  <si>
    <t xml:space="preserve">13:00–20:00</t>
  </si>
  <si>
    <t xml:space="preserve">barkhult.nu</t>
  </si>
  <si>
    <t xml:space="preserve">0476-611 11</t>
  </si>
  <si>
    <t xml:space="preserve">Barkhults gård PL 2721, Älmhult</t>
  </si>
  <si>
    <t xml:space="preserve">BarlindBeer Bryggeri och Taproom</t>
  </si>
  <si>
    <t xml:space="preserve">Barlingbo Bryggeri AB</t>
  </si>
  <si>
    <t xml:space="preserve">08:00–13:00</t>
  </si>
  <si>
    <t xml:space="preserve">barlingbobryggeri.se</t>
  </si>
  <si>
    <t xml:space="preserve">0498-10 53 50</t>
  </si>
  <si>
    <t xml:space="preserve">info@barlingbobryggeri.se</t>
  </si>
  <si>
    <t xml:space="preserve">Artillerigatan 9, 621 38 Visby</t>
  </si>
  <si>
    <t xml:space="preserve">Basta Kvarn Kafé</t>
  </si>
  <si>
    <t xml:space="preserve">Ulricehamn</t>
  </si>
  <si>
    <t xml:space="preserve">Basunda gård</t>
  </si>
  <si>
    <t xml:space="preserve">07:00–21:00</t>
  </si>
  <si>
    <t xml:space="preserve">Bearded Rabbit Brewery AB</t>
  </si>
  <si>
    <t xml:space="preserve">Beerbliotek Brewery</t>
  </si>
  <si>
    <t xml:space="preserve">08:00–15:00</t>
  </si>
  <si>
    <t xml:space="preserve">Beerium</t>
  </si>
  <si>
    <t xml:space="preserve">Beersmiths AB &amp; Brygga Bränneri</t>
  </si>
  <si>
    <t xml:space="preserve">08:00–17:00</t>
  </si>
  <si>
    <t xml:space="preserve">Benestad Bryggeri</t>
  </si>
  <si>
    <t xml:space="preserve">Bergqvara Gård AB</t>
  </si>
  <si>
    <t xml:space="preserve">Växjö</t>
  </si>
  <si>
    <t xml:space="preserve">bergqvaragard.se</t>
  </si>
  <si>
    <t xml:space="preserve">0470-669 14 / 0470-669 70</t>
  </si>
  <si>
    <t xml:space="preserve">gabrielle@bergqvaragard.se</t>
  </si>
  <si>
    <t xml:space="preserve">Bergkvara Gård, 355 93 Växjö</t>
  </si>
  <si>
    <t xml:space="preserve">Bergs Gård Gårdsbutik</t>
  </si>
  <si>
    <t xml:space="preserve">Trosa</t>
  </si>
  <si>
    <t xml:space="preserve">Bergs Gård MTB Arena</t>
  </si>
  <si>
    <t xml:space="preserve">Bergs Gård Veras Café</t>
  </si>
  <si>
    <t xml:space="preserve">Bergs Äppelgård, Köpings Musteri AB, Hallstahammar</t>
  </si>
  <si>
    <t xml:space="preserve">Hallstahammar</t>
  </si>
  <si>
    <t xml:space="preserve">Bergströms Äppleri</t>
  </si>
  <si>
    <t xml:space="preserve">Billdale &amp; Co AB</t>
  </si>
  <si>
    <t xml:space="preserve">Birgittas Café &amp; Lanthandel</t>
  </si>
  <si>
    <t xml:space="preserve">Bistro Bakgården</t>
  </si>
  <si>
    <t xml:space="preserve">11:00–22:00</t>
  </si>
  <si>
    <t xml:space="preserve">Bjällansås gård</t>
  </si>
  <si>
    <t xml:space="preserve">Uddevalla</t>
  </si>
  <si>
    <t xml:space="preserve">Bjärhus Gårdsbutik</t>
  </si>
  <si>
    <t xml:space="preserve">Klippan</t>
  </si>
  <si>
    <t xml:space="preserve">bjarhus.se</t>
  </si>
  <si>
    <t xml:space="preserve">0435-102 95</t>
  </si>
  <si>
    <t xml:space="preserve">elisabeth.hansson@lm.lrf.se</t>
  </si>
  <si>
    <t xml:space="preserve">Bjärhus 7738, 264 93 Klippan</t>
  </si>
  <si>
    <t xml:space="preserve">Björkeby Musteri</t>
  </si>
  <si>
    <t xml:space="preserve">Mariefred</t>
  </si>
  <si>
    <t xml:space="preserve">Björketorps Gård - Mjölkbutik (kl 8-20) och Glasscafé (juni-augusti kl 11-18)</t>
  </si>
  <si>
    <t xml:space="preserve">bjorketorpsgard.se</t>
  </si>
  <si>
    <t xml:space="preserve">070-531 38 28</t>
  </si>
  <si>
    <t xml:space="preserve">Björketorpsvägen 17, Johannishus</t>
  </si>
  <si>
    <t xml:space="preserve">Björröds Ägg</t>
  </si>
  <si>
    <t xml:space="preserve">08:30–19:30</t>
  </si>
  <si>
    <t xml:space="preserve">BLACKSTA GÅRDSBUTIK</t>
  </si>
  <si>
    <t xml:space="preserve">Flen</t>
  </si>
  <si>
    <t xml:space="preserve">Blacksta Vingård</t>
  </si>
  <si>
    <t xml:space="preserve">09:00–17:00</t>
  </si>
  <si>
    <t xml:space="preserve">Blekinge Fruktträd Plantskola</t>
  </si>
  <si>
    <t xml:space="preserve">Blekingeplantan</t>
  </si>
  <si>
    <t xml:space="preserve">Blekslättens gård</t>
  </si>
  <si>
    <t xml:space="preserve">Blomljus Kombucha</t>
  </si>
  <si>
    <t xml:space="preserve">Blomlöfs på Saltö</t>
  </si>
  <si>
    <t xml:space="preserve">Karlskrona</t>
  </si>
  <si>
    <t xml:space="preserve">Blommor och Jord i Alboga</t>
  </si>
  <si>
    <t xml:space="preserve">Bloms Gård</t>
  </si>
  <si>
    <t xml:space="preserve">Blomsterbacken Självplock &amp; Trädgårdsmästeri</t>
  </si>
  <si>
    <t xml:space="preserve">07:00–23:00</t>
  </si>
  <si>
    <t xml:space="preserve">Bokeslundsgården</t>
  </si>
  <si>
    <t xml:space="preserve">Hörby</t>
  </si>
  <si>
    <t xml:space="preserve">Bolmen Fisk AB</t>
  </si>
  <si>
    <t xml:space="preserve">fisk</t>
  </si>
  <si>
    <t xml:space="preserve">bolmenfisk.se</t>
  </si>
  <si>
    <t xml:space="preserve">0372-501 80</t>
  </si>
  <si>
    <t xml:space="preserve">Kronogården gamla tomt 1, 341 75 Hamneda</t>
  </si>
  <si>
    <t xml:space="preserve">Bondeblom Gårdsbutik</t>
  </si>
  <si>
    <t xml:space="preserve">Bondens Marknad</t>
  </si>
  <si>
    <t xml:space="preserve">Stockholm</t>
  </si>
  <si>
    <t xml:space="preserve">Bondens Skafferi AB</t>
  </si>
  <si>
    <t xml:space="preserve">Bondfruns Gårdsbutik &amp; MajsLabyrint</t>
  </si>
  <si>
    <t xml:space="preserve">08:00–20:00</t>
  </si>
  <si>
    <t xml:space="preserve">Bondmorans Lanthandel - Eko &amp; Gårdsbutik</t>
  </si>
  <si>
    <t xml:space="preserve">Bonnarps Hjortgård &amp; Veterinär</t>
  </si>
  <si>
    <t xml:space="preserve">10:00–20:00</t>
  </si>
  <si>
    <t xml:space="preserve">bonnarpshjort.se</t>
  </si>
  <si>
    <t xml:space="preserve">0435-440 165</t>
  </si>
  <si>
    <t xml:space="preserve">bonnarpshjort@telia.com</t>
  </si>
  <si>
    <t xml:space="preserve">Bonnarp 664, 260 70 Ljungbyhed</t>
  </si>
  <si>
    <t xml:space="preserve">Borgmästargården Kafé &amp; Konditori</t>
  </si>
  <si>
    <t xml:space="preserve">08:00–16:00</t>
  </si>
  <si>
    <t xml:space="preserve">Bosjökloster Trädgårdscaféet - en del av Bosjökloster Slott</t>
  </si>
  <si>
    <t xml:space="preserve">Höör</t>
  </si>
  <si>
    <t xml:space="preserve">Bossgård potatis AB</t>
  </si>
  <si>
    <t xml:space="preserve">Bossgårdens grönsaker</t>
  </si>
  <si>
    <t xml:space="preserve">Tidaholm</t>
  </si>
  <si>
    <t xml:space="preserve">Boställets vedugnsbageri</t>
  </si>
  <si>
    <t xml:space="preserve">mejeri; bakat</t>
  </si>
  <si>
    <t xml:space="preserve">Mejeri &amp; ägg; Bröd</t>
  </si>
  <si>
    <t xml:space="preserve">Botanicus Gårdsbutik AB - Handelsträdgård</t>
  </si>
  <si>
    <t xml:space="preserve">[GRANSKA] (okänt)</t>
  </si>
  <si>
    <t xml:space="preserve">10:00–16:00</t>
  </si>
  <si>
    <t xml:space="preserve">tomt namn</t>
  </si>
  <si>
    <t xml:space="preserve">Bottnansmåla Gård</t>
  </si>
  <si>
    <t xml:space="preserve">bottnansmala.se</t>
  </si>
  <si>
    <t xml:space="preserve">070-362 85 08</t>
  </si>
  <si>
    <t xml:space="preserve">ingela@bottnansmala.se</t>
  </si>
  <si>
    <t xml:space="preserve">Bottnansmålavägen 105, Rödeby</t>
  </si>
  <si>
    <t xml:space="preserve">Boxholms Bryggeri</t>
  </si>
  <si>
    <t xml:space="preserve">Bredaviks Örtagård</t>
  </si>
  <si>
    <t xml:space="preserve">Breds Vreta gård</t>
  </si>
  <si>
    <t xml:space="preserve">Enköping</t>
  </si>
  <si>
    <t xml:space="preserve">vreta-gard.se</t>
  </si>
  <si>
    <t xml:space="preserve">Uppsala län</t>
  </si>
  <si>
    <t xml:space="preserve">Brewers Beer Bar Magasinsgatan</t>
  </si>
  <si>
    <t xml:space="preserve">16:00–23:30</t>
  </si>
  <si>
    <t xml:space="preserve">Brewhuslän AB</t>
  </si>
  <si>
    <t xml:space="preserve">Brewski</t>
  </si>
  <si>
    <t xml:space="preserve">Brings Blommor</t>
  </si>
  <si>
    <t xml:space="preserve">Brinks Gurkor &amp; Lantbruks AB</t>
  </si>
  <si>
    <t xml:space="preserve">07:00–12:30</t>
  </si>
  <si>
    <t xml:space="preserve">Broaskogs gårdsbutik och trädgårdscafé</t>
  </si>
  <si>
    <t xml:space="preserve">Broby Gård Vintage, inredning och café, galleri</t>
  </si>
  <si>
    <t xml:space="preserve">Brohage kött</t>
  </si>
  <si>
    <t xml:space="preserve">Brooktorpsgården</t>
  </si>
  <si>
    <t xml:space="preserve">Brostorps Gårdsmejeri</t>
  </si>
  <si>
    <t xml:space="preserve">ostkaka.com</t>
  </si>
  <si>
    <t xml:space="preserve">Ydre</t>
  </si>
  <si>
    <t xml:space="preserve">Brukskällan Bryggeri</t>
  </si>
  <si>
    <t xml:space="preserve">Brunneby Musteri AB</t>
  </si>
  <si>
    <t xml:space="preserve">brunnebymusteri.se</t>
  </si>
  <si>
    <t xml:space="preserve">0141-402 04 / 070-8300090</t>
  </si>
  <si>
    <t xml:space="preserve">butiken@brunnebymusteri.se / info@brunnebymusteri.se</t>
  </si>
  <si>
    <t xml:space="preserve">Brunneby Gård, 591 77/590 28 Borensberg</t>
  </si>
  <si>
    <t xml:space="preserve">Brunneby Restaurang</t>
  </si>
  <si>
    <t xml:space="preserve">11:00–16:00</t>
  </si>
  <si>
    <t xml:space="preserve">Brunnsvikens Trädgård &amp; Café</t>
  </si>
  <si>
    <t xml:space="preserve">Solna</t>
  </si>
  <si>
    <t xml:space="preserve">Bryggan Café &amp; Bistro</t>
  </si>
  <si>
    <t xml:space="preserve">Jönköping</t>
  </si>
  <si>
    <t xml:space="preserve">08:00–22:00</t>
  </si>
  <si>
    <t xml:space="preserve">Bryggan Ringön</t>
  </si>
  <si>
    <t xml:space="preserve">Bryggeri 1766</t>
  </si>
  <si>
    <t xml:space="preserve">Bryggeri Nya Victoria AB</t>
  </si>
  <si>
    <t xml:space="preserve">Falköping</t>
  </si>
  <si>
    <t xml:space="preserve">Bryggeri Portvakten</t>
  </si>
  <si>
    <t xml:space="preserve">Bryggeri Rosenhill AB</t>
  </si>
  <si>
    <t xml:space="preserve">Bryggeri Stenstugan</t>
  </si>
  <si>
    <t xml:space="preserve">Nyköpings</t>
  </si>
  <si>
    <t xml:space="preserve">Bryggeriet Bar &amp; bistro</t>
  </si>
  <si>
    <t xml:space="preserve">Bryggeriet I Götene AB</t>
  </si>
  <si>
    <t xml:space="preserve">Lidköping</t>
  </si>
  <si>
    <t xml:space="preserve">Bryggeriet I Mariestad</t>
  </si>
  <si>
    <t xml:space="preserve">Mariestad</t>
  </si>
  <si>
    <t xml:space="preserve">Bryggeriet Mat &amp; Malt</t>
  </si>
  <si>
    <t xml:space="preserve">16:00–22:00</t>
  </si>
  <si>
    <t xml:space="preserve">Bryggeriet Piren Jönköping</t>
  </si>
  <si>
    <t xml:space="preserve">16:00–02:00</t>
  </si>
  <si>
    <t xml:space="preserve">Bryggeriet Sportbar</t>
  </si>
  <si>
    <t xml:space="preserve">10:00–23:00</t>
  </si>
  <si>
    <t xml:space="preserve">Bryggeriet Ångkvarn</t>
  </si>
  <si>
    <t xml:space="preserve">15:00–22:00</t>
  </si>
  <si>
    <t xml:space="preserve">Bryggerifabriken</t>
  </si>
  <si>
    <t xml:space="preserve">Bryggerifabriken Fd Bryggeri Skeppsgossen</t>
  </si>
  <si>
    <t xml:space="preserve">Brygghus 19</t>
  </si>
  <si>
    <t xml:space="preserve">Karlshamn</t>
  </si>
  <si>
    <t xml:space="preserve">Bryggpub</t>
  </si>
  <si>
    <t xml:space="preserve">Bränna Gårdsmejeri</t>
  </si>
  <si>
    <t xml:space="preserve">11:00–19:00</t>
  </si>
  <si>
    <t xml:space="preserve">Bränntorp Gård</t>
  </si>
  <si>
    <t xml:space="preserve">Bröd &amp; Sovel</t>
  </si>
  <si>
    <t xml:space="preserve">07:30–18:00</t>
  </si>
  <si>
    <t xml:space="preserve">Brödboden Södertorg</t>
  </si>
  <si>
    <t xml:space="preserve">06:30–16:00</t>
  </si>
  <si>
    <t xml:space="preserve">Bröderna Sibbesson AB</t>
  </si>
  <si>
    <t xml:space="preserve">grönsaker; bakat</t>
  </si>
  <si>
    <t xml:space="preserve">Grönsaker; Bröd</t>
  </si>
  <si>
    <t xml:space="preserve">sibbesson.se</t>
  </si>
  <si>
    <t xml:space="preserve">0456-248 93</t>
  </si>
  <si>
    <t xml:space="preserve">info@brsibbesson.se</t>
  </si>
  <si>
    <t xml:space="preserve">Lillesjövägen 51, 295 94 Näsum</t>
  </si>
  <si>
    <t xml:space="preserve">Brödhultsgården Ab</t>
  </si>
  <si>
    <t xml:space="preserve">14:00–17:00</t>
  </si>
  <si>
    <t xml:space="preserve">070-565 59 22 / 070-315 15 08</t>
  </si>
  <si>
    <t xml:space="preserve">Brödhultsvägen 40, Kyrkhult</t>
  </si>
  <si>
    <t xml:space="preserve">Bröms Gårdsbutik</t>
  </si>
  <si>
    <t xml:space="preserve">Burgsviks bryggeri</t>
  </si>
  <si>
    <t xml:space="preserve">Bustad Brewing Co.</t>
  </si>
  <si>
    <t xml:space="preserve">Buters Gårdsbutik</t>
  </si>
  <si>
    <t xml:space="preserve">Butik GUL i Kölleröd</t>
  </si>
  <si>
    <t xml:space="preserve">Butik Öljersjö</t>
  </si>
  <si>
    <t xml:space="preserve">Båltsnäs gård</t>
  </si>
  <si>
    <t xml:space="preserve">Katrineholm</t>
  </si>
  <si>
    <t xml:space="preserve">Båstad Honung</t>
  </si>
  <si>
    <t xml:space="preserve">honung</t>
  </si>
  <si>
    <t xml:space="preserve">Bäckhästen Bageri &amp; Café</t>
  </si>
  <si>
    <t xml:space="preserve">Bäntebingels gård</t>
  </si>
  <si>
    <t xml:space="preserve">Bärby självplock</t>
  </si>
  <si>
    <t xml:space="preserve">09:00–18:00</t>
  </si>
  <si>
    <t xml:space="preserve">Bärgården Källunge AB</t>
  </si>
  <si>
    <t xml:space="preserve">Bättre kött och delikatess Sverige AB</t>
  </si>
  <si>
    <t xml:space="preserve">Bögs gård</t>
  </si>
  <si>
    <t xml:space="preserve">Sollentuna</t>
  </si>
  <si>
    <t xml:space="preserve">Börslycke Gård, gårdsbutik och produktion</t>
  </si>
  <si>
    <t xml:space="preserve">Café Grassagården</t>
  </si>
  <si>
    <t xml:space="preserve">Strängnäs</t>
  </si>
  <si>
    <t xml:space="preserve">Cafe Mandeltårtan B&amp;B</t>
  </si>
  <si>
    <t xml:space="preserve">Café Tingsgården</t>
  </si>
  <si>
    <t xml:space="preserve">Eskilstuna</t>
  </si>
  <si>
    <t xml:space="preserve">Carnex Kött &amp; Chark AB</t>
  </si>
  <si>
    <t xml:space="preserve">Malmö</t>
  </si>
  <si>
    <t xml:space="preserve">08:30–18:00</t>
  </si>
  <si>
    <t xml:space="preserve">Cehlin Vingård</t>
  </si>
  <si>
    <t xml:space="preserve">Kristianstad</t>
  </si>
  <si>
    <t xml:space="preserve">CENTRALBRYGGERIET</t>
  </si>
  <si>
    <t xml:space="preserve">Chapter House</t>
  </si>
  <si>
    <t xml:space="preserve">16:00–00:00</t>
  </si>
  <si>
    <t xml:space="preserve">Charlis Brygghus</t>
  </si>
  <si>
    <t xml:space="preserve">Christians trädgård och café</t>
  </si>
  <si>
    <t xml:space="preserve">Dahliafarmen på Österlen</t>
  </si>
  <si>
    <t xml:space="preserve">Dahliaträdgården</t>
  </si>
  <si>
    <t xml:space="preserve">Dalslands Struts</t>
  </si>
  <si>
    <t xml:space="preserve">Färgelanda</t>
  </si>
  <si>
    <t xml:space="preserve">09:00–21:00</t>
  </si>
  <si>
    <t xml:space="preserve">Dalsspira Mejeri</t>
  </si>
  <si>
    <t xml:space="preserve">dalsspira.se</t>
  </si>
  <si>
    <t xml:space="preserve">0528-500 01</t>
  </si>
  <si>
    <t xml:space="preserve">info@dalsspira.se</t>
  </si>
  <si>
    <t xml:space="preserve">Håbynvägen 6, 458 30 Färgelanda</t>
  </si>
  <si>
    <t xml:space="preserve">Dammhagen gård och bistro</t>
  </si>
  <si>
    <t xml:space="preserve">Danska Wienerbageriet - Bageri i Kalmar</t>
  </si>
  <si>
    <t xml:space="preserve">07:30–17:30</t>
  </si>
  <si>
    <t xml:space="preserve">Den Engelska Trädgården</t>
  </si>
  <si>
    <t xml:space="preserve">Den gröna fabriken</t>
  </si>
  <si>
    <t xml:space="preserve">Lund</t>
  </si>
  <si>
    <t xml:space="preserve">Domain Sånana</t>
  </si>
  <si>
    <t xml:space="preserve">Domingos Gårdsbutik</t>
  </si>
  <si>
    <t xml:space="preserve">Sölvesborg</t>
  </si>
  <si>
    <t xml:space="preserve">Dotetorps Ägg (Gårdsbutik)</t>
  </si>
  <si>
    <t xml:space="preserve">06:00–18:00</t>
  </si>
  <si>
    <t xml:space="preserve">Drefseryd Gård</t>
  </si>
  <si>
    <t xml:space="preserve">Gränna</t>
  </si>
  <si>
    <t xml:space="preserve">Dymöllans Ålrökeri</t>
  </si>
  <si>
    <t xml:space="preserve">Dönardalens Delikatesser</t>
  </si>
  <si>
    <t xml:space="preserve">09:00–19:00</t>
  </si>
  <si>
    <t xml:space="preserve">donardalen.se</t>
  </si>
  <si>
    <t xml:space="preserve">Våxtorp</t>
  </si>
  <si>
    <t xml:space="preserve">Ebbarps Norrgård</t>
  </si>
  <si>
    <t xml:space="preserve">Ebbessons gårdsmejeri &amp; butik</t>
  </si>
  <si>
    <t xml:space="preserve">ebbessonsgårdsmejeri.hemsida24.se</t>
  </si>
  <si>
    <t xml:space="preserve">070-227 60 69</t>
  </si>
  <si>
    <t xml:space="preserve">camilla.ebbesson@telia.com</t>
  </si>
  <si>
    <t xml:space="preserve">Möllhultsvägen 122, 269 93 Båstad</t>
  </si>
  <si>
    <t xml:space="preserve">Båstad</t>
  </si>
  <si>
    <t xml:space="preserve">Edsvikens musteri</t>
  </si>
  <si>
    <t xml:space="preserve">Ehrenhofers Gård AB</t>
  </si>
  <si>
    <t xml:space="preserve">Ejmunds Gård &amp; Såg AB</t>
  </si>
  <si>
    <t xml:space="preserve">ejmunds.se</t>
  </si>
  <si>
    <t xml:space="preserve">Ejmunds</t>
  </si>
  <si>
    <t xml:space="preserve">Ekbolanda gård</t>
  </si>
  <si>
    <t xml:space="preserve">fjardhundraland.se/plats/ekbolanda-gard</t>
  </si>
  <si>
    <t xml:space="preserve">~30 min från Uppsala</t>
  </si>
  <si>
    <t xml:space="preserve">Ekebo gård</t>
  </si>
  <si>
    <t xml:space="preserve">Ekenberg musteri</t>
  </si>
  <si>
    <t xml:space="preserve">Ekenäs Trädgård AB</t>
  </si>
  <si>
    <t xml:space="preserve">Ekerödsrasten AB</t>
  </si>
  <si>
    <t xml:space="preserve">06:30–20:30</t>
  </si>
  <si>
    <t xml:space="preserve">Ekesåkra Vingård Österlenvin</t>
  </si>
  <si>
    <t xml:space="preserve">Ekkullens Fårfarm</t>
  </si>
  <si>
    <t xml:space="preserve">Ekne Gårds Frukt &amp; Grönt AB</t>
  </si>
  <si>
    <t xml:space="preserve">eknegard.se</t>
  </si>
  <si>
    <t xml:space="preserve">0454-38 38 50</t>
  </si>
  <si>
    <t xml:space="preserve">produkter@eknegard.se</t>
  </si>
  <si>
    <t xml:space="preserve">Pukaviksvägen 529, Jämshög</t>
  </si>
  <si>
    <t xml:space="preserve">Ekofrida</t>
  </si>
  <si>
    <t xml:space="preserve">Ekoväx i Norden AB</t>
  </si>
  <si>
    <t xml:space="preserve">Elins Lockar</t>
  </si>
  <si>
    <t xml:space="preserve">Elisabeths Trädgård Restaurang &amp; Café</t>
  </si>
  <si>
    <t xml:space="preserve">Elleholms Tomatodling AB</t>
  </si>
  <si>
    <t xml:space="preserve">12:00–16:00</t>
  </si>
  <si>
    <t xml:space="preserve">Ellenholm &amp; Vadensjö Jordbruks AB</t>
  </si>
  <si>
    <t xml:space="preserve">EM Vilt Butik</t>
  </si>
  <si>
    <t xml:space="preserve">En Aleigen Brewery, The Mothership</t>
  </si>
  <si>
    <t xml:space="preserve">Engelbrekt Gård</t>
  </si>
  <si>
    <t xml:space="preserve">Trollhättan</t>
  </si>
  <si>
    <t xml:space="preserve">Eriksgården Spettkaksbageri</t>
  </si>
  <si>
    <t xml:space="preserve">Sjöbo</t>
  </si>
  <si>
    <t xml:space="preserve">eriksgarden.nu</t>
  </si>
  <si>
    <t xml:space="preserve">0416-140 28</t>
  </si>
  <si>
    <t xml:space="preserve">eriksgarden@sjobo.nu</t>
  </si>
  <si>
    <t xml:space="preserve">Hörrs byaväg 272, 275 92 Sjöbo</t>
  </si>
  <si>
    <t xml:space="preserve">Esbjörntorps Gårdsmjölk Värsås</t>
  </si>
  <si>
    <t xml:space="preserve">06:00–22:00</t>
  </si>
  <si>
    <t xml:space="preserve">Evenstorps Gård</t>
  </si>
  <si>
    <t xml:space="preserve">Fagerhults Gård</t>
  </si>
  <si>
    <t xml:space="preserve">Falköpings Mejeri ek för</t>
  </si>
  <si>
    <t xml:space="preserve">Fermenterarna Bryggeri AB</t>
  </si>
  <si>
    <t xml:space="preserve">Fiddekulla Trädgård</t>
  </si>
  <si>
    <t xml:space="preserve">Flatö Bryggeri AB</t>
  </si>
  <si>
    <t xml:space="preserve">Flyinge Plantshop</t>
  </si>
  <si>
    <t xml:space="preserve">Flyinge Vingård</t>
  </si>
  <si>
    <t xml:space="preserve">Flädergården/Pelargonhuset</t>
  </si>
  <si>
    <t xml:space="preserve">Flädie Gårdsbutik</t>
  </si>
  <si>
    <t xml:space="preserve">Fläskomat</t>
  </si>
  <si>
    <t xml:space="preserve">Flättinge Gårdsbutik &amp; Café</t>
  </si>
  <si>
    <t xml:space="preserve">Folaboda Musteri &amp; Destilleri</t>
  </si>
  <si>
    <t xml:space="preserve">vin; sprit</t>
  </si>
  <si>
    <t xml:space="preserve">folaboda.com</t>
  </si>
  <si>
    <t xml:space="preserve">070-722 32 45 / 070-268 19 05</t>
  </si>
  <si>
    <t xml:space="preserve">Fålaboda 3, 362 95 Urshult</t>
  </si>
  <si>
    <t xml:space="preserve">Fors Bryggeri</t>
  </si>
  <si>
    <t xml:space="preserve">Forshems Gästgivaregård</t>
  </si>
  <si>
    <t xml:space="preserve">Fram Ekolivs, kooperativ handel</t>
  </si>
  <si>
    <t xml:space="preserve">08:30–20:00</t>
  </si>
  <si>
    <t xml:space="preserve">Framtidsgården självplock av ekologiska bär</t>
  </si>
  <si>
    <t xml:space="preserve">Freadals Gårdskrog i Åsa</t>
  </si>
  <si>
    <t xml:space="preserve">11:30–15:00</t>
  </si>
  <si>
    <t xml:space="preserve">Fredrikslunds Gård AB</t>
  </si>
  <si>
    <t xml:space="preserve">Fredrikslunds Gårdsbutik</t>
  </si>
  <si>
    <t xml:space="preserve">12:00–18:00</t>
  </si>
  <si>
    <t xml:space="preserve">Fregatten Trädgårdscafé</t>
  </si>
  <si>
    <t xml:space="preserve">Fresons Bageri &amp; Trädgård</t>
  </si>
  <si>
    <t xml:space="preserve">Frida på Staxgård</t>
  </si>
  <si>
    <t xml:space="preserve">09:00–20:00</t>
  </si>
  <si>
    <t xml:space="preserve">fridapåstaxgård.se</t>
  </si>
  <si>
    <t xml:space="preserve">0735-11 57 36</t>
  </si>
  <si>
    <t xml:space="preserve">fridapastaxgard@hotmail.com</t>
  </si>
  <si>
    <t xml:space="preserve">Yxnarydsvägen 15, 294 93 Sölvesborg</t>
  </si>
  <si>
    <t xml:space="preserve">Friden Gårdskrog</t>
  </si>
  <si>
    <t xml:space="preserve">Fristad</t>
  </si>
  <si>
    <t xml:space="preserve">Fru Hjärnfrö</t>
  </si>
  <si>
    <t xml:space="preserve">Fruemöllans Bär</t>
  </si>
  <si>
    <t xml:space="preserve">Fröö Gård Naturbeteskött</t>
  </si>
  <si>
    <t xml:space="preserve">Fröö Kött&amp;Mat</t>
  </si>
  <si>
    <t xml:space="preserve">07:00–22:00</t>
  </si>
  <si>
    <t xml:space="preserve">Fulltofta Gård AB</t>
  </si>
  <si>
    <t xml:space="preserve">Fulltofta Gårdsbryggeri AB</t>
  </si>
  <si>
    <t xml:space="preserve">Fylla Gård, Självplock jordgubbar, Gårdsbutik</t>
  </si>
  <si>
    <t xml:space="preserve">Färg Från Förr</t>
  </si>
  <si>
    <t xml:space="preserve">Färgargården</t>
  </si>
  <si>
    <t xml:space="preserve">Gamla Bryggeriet</t>
  </si>
  <si>
    <t xml:space="preserve">Gamla Enskede Bryggeri</t>
  </si>
  <si>
    <t xml:space="preserve">Gandarve gård - Äggbod i Vänge</t>
  </si>
  <si>
    <t xml:space="preserve">gandarvegard.se</t>
  </si>
  <si>
    <t xml:space="preserve">073-681 14 77</t>
  </si>
  <si>
    <t xml:space="preserve">Vänge Gandarve 531, 622 36 Romakloster</t>
  </si>
  <si>
    <t xml:space="preserve">Gannarve skeppssättning</t>
  </si>
  <si>
    <t xml:space="preserve">Germundslycke Gård</t>
  </si>
  <si>
    <t xml:space="preserve">Gessie potatis Gårdsbutik</t>
  </si>
  <si>
    <t xml:space="preserve">12:00–17:00</t>
  </si>
  <si>
    <t xml:space="preserve">gessiepotatis.com</t>
  </si>
  <si>
    <t xml:space="preserve">070-914 19 40</t>
  </si>
  <si>
    <t xml:space="preserve">gessiepotatis@telia.com</t>
  </si>
  <si>
    <t xml:space="preserve">Gessievägen 143:22, 235 93 Vellinge</t>
  </si>
  <si>
    <t xml:space="preserve">Gigeryds Gård</t>
  </si>
  <si>
    <t xml:space="preserve">GLHF Brewery Company AB</t>
  </si>
  <si>
    <t xml:space="preserve">Glommens Bryggeri AB</t>
  </si>
  <si>
    <t xml:space="preserve">Glorias Äppelgård</t>
  </si>
  <si>
    <t xml:space="preserve">Glästäde gård</t>
  </si>
  <si>
    <t xml:space="preserve">Gotland Whisky</t>
  </si>
  <si>
    <t xml:space="preserve">sprit</t>
  </si>
  <si>
    <t xml:space="preserve">12:30–17:00</t>
  </si>
  <si>
    <t xml:space="preserve">Gotlands Bryggeri</t>
  </si>
  <si>
    <t xml:space="preserve">Gotlands Delikatesser Gårdsbutik Pesto&amp;Salmbär</t>
  </si>
  <si>
    <t xml:space="preserve">Granerfeldts Trädgårdscenter</t>
  </si>
  <si>
    <t xml:space="preserve">Graninge Köksträdgård</t>
  </si>
  <si>
    <t xml:space="preserve">Granum Musteri</t>
  </si>
  <si>
    <t xml:space="preserve">Graute gård - Får och Lammgård</t>
  </si>
  <si>
    <t xml:space="preserve">Grebbestad Bryggeri</t>
  </si>
  <si>
    <t xml:space="preserve">Green Life Kombucha</t>
  </si>
  <si>
    <t xml:space="preserve">Alingsås</t>
  </si>
  <si>
    <t xml:space="preserve">16:00–19:00</t>
  </si>
  <si>
    <t xml:space="preserve">Grepstad Gårdsbutik</t>
  </si>
  <si>
    <t xml:space="preserve">14:00–18:00</t>
  </si>
  <si>
    <t xml:space="preserve">grepstad.se</t>
  </si>
  <si>
    <t xml:space="preserve">0141-231900</t>
  </si>
  <si>
    <t xml:space="preserve">Fågelsta/Varv</t>
  </si>
  <si>
    <t xml:space="preserve">Grepstad Jordgubbar</t>
  </si>
  <si>
    <t xml:space="preserve">Grimstad Gårdsbutik</t>
  </si>
  <si>
    <t xml:space="preserve">Grisen &amp; Draken Brösarp</t>
  </si>
  <si>
    <t xml:space="preserve">Gränsbo Potatis AB</t>
  </si>
  <si>
    <t xml:space="preserve">Gräsljunga Gårdsprodukter</t>
  </si>
  <si>
    <t xml:space="preserve">grasljunga.com</t>
  </si>
  <si>
    <t xml:space="preserve">0479-401 22</t>
  </si>
  <si>
    <t xml:space="preserve">info@grasljunga.com</t>
  </si>
  <si>
    <t xml:space="preserve">Gräsljunga 1405, 283 95 Visseltofta</t>
  </si>
  <si>
    <t xml:space="preserve">Grästorps Lilla Edet Bryggeri ABLilla</t>
  </si>
  <si>
    <t xml:space="preserve">Edet</t>
  </si>
  <si>
    <t xml:space="preserve">08:30–14:00</t>
  </si>
  <si>
    <t xml:space="preserve">Grävelsta Gård AB</t>
  </si>
  <si>
    <t xml:space="preserve">Vallentuna</t>
  </si>
  <si>
    <t xml:space="preserve">gravelsta.se</t>
  </si>
  <si>
    <t xml:space="preserve">lamm@gravelsta.se</t>
  </si>
  <si>
    <t xml:space="preserve">Grävelsta 1, 186 92 Vallentuna</t>
  </si>
  <si>
    <t xml:space="preserve">Gröna Bigården i Vidja AB</t>
  </si>
  <si>
    <t xml:space="preserve">Gröna Butiken på Orelund</t>
  </si>
  <si>
    <t xml:space="preserve">orelund.se</t>
  </si>
  <si>
    <t xml:space="preserve">0414-243 00</t>
  </si>
  <si>
    <t xml:space="preserve">info@orelund.se</t>
  </si>
  <si>
    <t xml:space="preserve">Rörum 26, 272 95 Simrishamn</t>
  </si>
  <si>
    <t xml:space="preserve">Gröna gårdar AB</t>
  </si>
  <si>
    <t xml:space="preserve">Gröna Hagars Kött, Uppfödning och Gårdsbutik</t>
  </si>
  <si>
    <t xml:space="preserve">Sala</t>
  </si>
  <si>
    <t xml:space="preserve">gronahagarskott.se</t>
  </si>
  <si>
    <t xml:space="preserve">070-560 82 25</t>
  </si>
  <si>
    <t xml:space="preserve">Fallängetorp 106, Krylbo</t>
  </si>
  <si>
    <t xml:space="preserve">Grönalunds-För det goda på bordet Gårdsbutik</t>
  </si>
  <si>
    <t xml:space="preserve">Grönby blåbär</t>
  </si>
  <si>
    <t xml:space="preserve">Grönsaker Direkt i</t>
  </si>
  <si>
    <t xml:space="preserve">Gudagott</t>
  </si>
  <si>
    <t xml:space="preserve">Gullans Gård - Lammskinn och gårdsbutik -</t>
  </si>
  <si>
    <t xml:space="preserve">Gullinbursti Lantbruk</t>
  </si>
  <si>
    <t xml:space="preserve">Östhammars</t>
  </si>
  <si>
    <t xml:space="preserve">Gummagårdens gårdsbutik</t>
  </si>
  <si>
    <t xml:space="preserve">gummagarden.se</t>
  </si>
  <si>
    <t xml:space="preserve">0456-319 65</t>
  </si>
  <si>
    <t xml:space="preserve">butik@gummagarden.se</t>
  </si>
  <si>
    <t xml:space="preserve">Norjevägen 25, Sölvesborg</t>
  </si>
  <si>
    <t xml:space="preserve">Gunnagårds Naturprodukter</t>
  </si>
  <si>
    <t xml:space="preserve">15:00–19:00</t>
  </si>
  <si>
    <t xml:space="preserve">Gunnars Granar AB</t>
  </si>
  <si>
    <t xml:space="preserve">0414-320 03</t>
  </si>
  <si>
    <t xml:space="preserve">info@gunnarshog.se</t>
  </si>
  <si>
    <t xml:space="preserve">Vallbyvägen 90, 276 56 Hammenhög</t>
  </si>
  <si>
    <t xml:space="preserve">Gunnebo Trädgård</t>
  </si>
  <si>
    <t xml:space="preserve">Gångemad fårgård</t>
  </si>
  <si>
    <t xml:space="preserve">Gårdsbageriet i Idala</t>
  </si>
  <si>
    <t xml:space="preserve">Gårdsbutik</t>
  </si>
  <si>
    <t xml:space="preserve">angavallen.se</t>
  </si>
  <si>
    <t xml:space="preserve">040-42 32 50</t>
  </si>
  <si>
    <t xml:space="preserve">angavallen@angavallen.se</t>
  </si>
  <si>
    <t xml:space="preserve">Ängavallens väg 17-9, 235 91 Vellinge</t>
  </si>
  <si>
    <t xml:space="preserve">Gårdsbutik Frugårdens Kött Istorp</t>
  </si>
  <si>
    <t xml:space="preserve">Gårdsbutik Gabis granna Grönsaker, kött och chark</t>
  </si>
  <si>
    <t xml:space="preserve">Norrtälje</t>
  </si>
  <si>
    <t xml:space="preserve">kött; grönsaker</t>
  </si>
  <si>
    <t xml:space="preserve">Kött; Grönsaker</t>
  </si>
  <si>
    <t xml:space="preserve">facebook.com/gabisgrannagronsaker</t>
  </si>
  <si>
    <t xml:space="preserve">073-656 70 89</t>
  </si>
  <si>
    <t xml:space="preserve">Storbolsvägen, 762 96 Rånäs</t>
  </si>
  <si>
    <t xml:space="preserve">Gårdsbutik med fokus på nötkött - Hagshultskossornas Kopensionat</t>
  </si>
  <si>
    <t xml:space="preserve">Gårdsbutik Outdoor Eriksberg</t>
  </si>
  <si>
    <t xml:space="preserve">Gårdsbutik Ryasand</t>
  </si>
  <si>
    <t xml:space="preserve">Härryda</t>
  </si>
  <si>
    <t xml:space="preserve">Gårdsbutik Stora Tumlehed Gård</t>
  </si>
  <si>
    <t xml:space="preserve">Gårdsbutik Thuresson</t>
  </si>
  <si>
    <t xml:space="preserve">gardsbutikthuresson.se</t>
  </si>
  <si>
    <t xml:space="preserve">norr om Falkenberg</t>
  </si>
  <si>
    <t xml:space="preserve">Gårdsbutik Wernerssons Frukt &amp; Honung</t>
  </si>
  <si>
    <t xml:space="preserve">Gårdsbutiken i Smedby</t>
  </si>
  <si>
    <t xml:space="preserve">Arboga</t>
  </si>
  <si>
    <t xml:space="preserve">Smedby</t>
  </si>
  <si>
    <t xml:space="preserve">Gårdsbutiken i Torp Rusthåll</t>
  </si>
  <si>
    <t xml:space="preserve">Gårdsbutiken På Gröneröd</t>
  </si>
  <si>
    <t xml:space="preserve">Gårdsbutiken Viby Potatis</t>
  </si>
  <si>
    <t xml:space="preserve">09:30–17:30</t>
  </si>
  <si>
    <t xml:space="preserve">Gårdsby ägg</t>
  </si>
  <si>
    <t xml:space="preserve">07:00–20:00</t>
  </si>
  <si>
    <t xml:space="preserve">Gårdschips</t>
  </si>
  <si>
    <t xml:space="preserve">07:00–15:00</t>
  </si>
  <si>
    <t xml:space="preserve">Gårdsfisk</t>
  </si>
  <si>
    <t xml:space="preserve">grönsaker; fisk</t>
  </si>
  <si>
    <t xml:space="preserve">Grönsaker; Fisk</t>
  </si>
  <si>
    <t xml:space="preserve">Gårdshuset på Äleby</t>
  </si>
  <si>
    <t xml:space="preserve">Gårdshuset Selaön AB</t>
  </si>
  <si>
    <t xml:space="preserve">Gårdskassen</t>
  </si>
  <si>
    <t xml:space="preserve">Borås</t>
  </si>
  <si>
    <t xml:space="preserve">Gårdsmejeriet Sanda</t>
  </si>
  <si>
    <t xml:space="preserve">Haninge</t>
  </si>
  <si>
    <t xml:space="preserve">Gårdsservice</t>
  </si>
  <si>
    <t xml:space="preserve">Gårdssällskapet</t>
  </si>
  <si>
    <t xml:space="preserve">Gårdstånga Vägkrog</t>
  </si>
  <si>
    <t xml:space="preserve">Gällenäs grönsaker</t>
  </si>
  <si>
    <t xml:space="preserve">Gäsene Mejeri Ostbutik</t>
  </si>
  <si>
    <t xml:space="preserve">gasenemejeri.se</t>
  </si>
  <si>
    <t xml:space="preserve">0513-250 80</t>
  </si>
  <si>
    <t xml:space="preserve">Alingsåsvägen 32, 524 41 Ljung</t>
  </si>
  <si>
    <t xml:space="preserve">Gästgivaregården</t>
  </si>
  <si>
    <t xml:space="preserve">Ljungby</t>
  </si>
  <si>
    <t xml:space="preserve">11:30–14:00</t>
  </si>
  <si>
    <t xml:space="preserve">Gödebergs Gårdsbutik</t>
  </si>
  <si>
    <t xml:space="preserve">godebergsgardsbutik.se</t>
  </si>
  <si>
    <t xml:space="preserve">031-99 23 14</t>
  </si>
  <si>
    <t xml:space="preserve">Gödebergsvägen 11, 437 34 Lindome</t>
  </si>
  <si>
    <t xml:space="preserve">Göinge Fridhem Trädgårds Ab</t>
  </si>
  <si>
    <t xml:space="preserve">Götala Herrgård AB</t>
  </si>
  <si>
    <t xml:space="preserve">Skara</t>
  </si>
  <si>
    <t xml:space="preserve">Göteborgs Bryggerimuseum</t>
  </si>
  <si>
    <t xml:space="preserve">Göteborgs Nya Bryggeri</t>
  </si>
  <si>
    <t xml:space="preserve">Haddorps Gårdsbutik</t>
  </si>
  <si>
    <t xml:space="preserve">HAFI Hallands Fruktindustri AB</t>
  </si>
  <si>
    <t xml:space="preserve">Haga Produkter</t>
  </si>
  <si>
    <t xml:space="preserve">Hagalundstomater AB Gårdsbutik Tomat &amp; Sånt</t>
  </si>
  <si>
    <t xml:space="preserve">hagalundstomater.se</t>
  </si>
  <si>
    <t xml:space="preserve">0480-300 75</t>
  </si>
  <si>
    <t xml:space="preserve">hagalundstomater@telia.com</t>
  </si>
  <si>
    <t xml:space="preserve">Hagalund Ölvingstorp 911, 388 92 Ljungbyholm</t>
  </si>
  <si>
    <t xml:space="preserve">Hagarnas mejeri</t>
  </si>
  <si>
    <t xml:space="preserve">Hagatomten Ekologiskt lantbruk</t>
  </si>
  <si>
    <t xml:space="preserve">Hagby gård</t>
  </si>
  <si>
    <t xml:space="preserve">hagbygard.se</t>
  </si>
  <si>
    <t xml:space="preserve">070-568 08 50</t>
  </si>
  <si>
    <t xml:space="preserve">Almunge-Hagby 237, 741 97 Almunge</t>
  </si>
  <si>
    <t xml:space="preserve">Hagby gård gårdsbutik</t>
  </si>
  <si>
    <t xml:space="preserve">Halfvede Musteri</t>
  </si>
  <si>
    <t xml:space="preserve">halfvede.se</t>
  </si>
  <si>
    <t xml:space="preserve">0498-23 00 00</t>
  </si>
  <si>
    <t xml:space="preserve">info@halfvede.se</t>
  </si>
  <si>
    <t xml:space="preserve">När Siglajvs 842 / Dalhem Hallvide 119</t>
  </si>
  <si>
    <t xml:space="preserve">Hallands Kombucha</t>
  </si>
  <si>
    <t xml:space="preserve">Hallandsgården</t>
  </si>
  <si>
    <t xml:space="preserve">Hallongården</t>
  </si>
  <si>
    <t xml:space="preserve">Trelleborg</t>
  </si>
  <si>
    <t xml:space="preserve">11:00–17:00</t>
  </si>
  <si>
    <t xml:space="preserve">hallongarden.se</t>
  </si>
  <si>
    <t xml:space="preserve">040-675 05 04</t>
  </si>
  <si>
    <t xml:space="preserve">Bodarpsvägen 144, Trelleborg</t>
  </si>
  <si>
    <t xml:space="preserve">Hallåkra Gård</t>
  </si>
  <si>
    <t xml:space="preserve">Halmstad Brygghus</t>
  </si>
  <si>
    <t xml:space="preserve">HamraGård</t>
  </si>
  <si>
    <t xml:space="preserve">hamragard.se</t>
  </si>
  <si>
    <t xml:space="preserve">Åsa, mellan Varberg/Kungsbacka</t>
  </si>
  <si>
    <t xml:space="preserve">Handelsträdgården Löfstad Slott</t>
  </si>
  <si>
    <t xml:space="preserve">Hantverksbageriet Christin</t>
  </si>
  <si>
    <t xml:space="preserve">Hantverksbryggeriet</t>
  </si>
  <si>
    <t xml:space="preserve">Hantverksgården i Ledberg</t>
  </si>
  <si>
    <t xml:space="preserve">Harsby Gårdbutik</t>
  </si>
  <si>
    <t xml:space="preserve">Söderköping</t>
  </si>
  <si>
    <t xml:space="preserve">Hattmakarens Bryggeri</t>
  </si>
  <si>
    <t xml:space="preserve">Hebe</t>
  </si>
  <si>
    <t xml:space="preserve">04:00–16:00</t>
  </si>
  <si>
    <t xml:space="preserve">Heberleins Delikatess Kött &amp; Chark AB</t>
  </si>
  <si>
    <t xml:space="preserve">Hebo Trädgård</t>
  </si>
  <si>
    <t xml:space="preserve">hebotradgard.se</t>
  </si>
  <si>
    <t xml:space="preserve">073-907 39 17</t>
  </si>
  <si>
    <t xml:space="preserve">Sätra Brunn Hebo 102, 733 95 Sala</t>
  </si>
  <si>
    <t xml:space="preserve">Hejde Knäcke</t>
  </si>
  <si>
    <t xml:space="preserve">hejdeknacke.se</t>
  </si>
  <si>
    <t xml:space="preserve">0498-214 314 / 070-532 23 41</t>
  </si>
  <si>
    <t xml:space="preserve">Hejde Forse 650, 623 75 Klintehamn</t>
  </si>
  <si>
    <t xml:space="preserve">Helenes Smörrebröd AB</t>
  </si>
  <si>
    <t xml:space="preserve">11:00–15:00</t>
  </si>
  <si>
    <t xml:space="preserve">Helensgården</t>
  </si>
  <si>
    <t xml:space="preserve">Helgagårdens Gårdsbutik &amp; Ostbutik</t>
  </si>
  <si>
    <t xml:space="preserve">Helsingborgs Bryggeri Aktiebolag</t>
  </si>
  <si>
    <t xml:space="preserve">Hembygdsgården Sjövillan i Åby</t>
  </si>
  <si>
    <t xml:space="preserve">HemmaJord, Pernilla Alexandersson</t>
  </si>
  <si>
    <t xml:space="preserve">Kungsbacka</t>
  </si>
  <si>
    <t xml:space="preserve">Henrys bageri</t>
  </si>
  <si>
    <t xml:space="preserve">Herbarium_ Rosendals Trädgård restaurang &amp; trädgårdsbar</t>
  </si>
  <si>
    <t xml:space="preserve">rosendalstradgard.se</t>
  </si>
  <si>
    <t xml:space="preserve">08-545 812 70</t>
  </si>
  <si>
    <t xml:space="preserve">Rosendalsterrassen 12, 115 21 Stockholm</t>
  </si>
  <si>
    <t xml:space="preserve">Hermelins färdiga gräsmattor &amp; gårdsbutik</t>
  </si>
  <si>
    <t xml:space="preserve">Herrljunga Drycker Gårdsbutik</t>
  </si>
  <si>
    <t xml:space="preserve">Herrljunga</t>
  </si>
  <si>
    <t xml:space="preserve">Herrsäter gård</t>
  </si>
  <si>
    <t xml:space="preserve">Herrydet Gård AB</t>
  </si>
  <si>
    <t xml:space="preserve">Herrängens Gård</t>
  </si>
  <si>
    <t xml:space="preserve">Hester Gård - Upplevelser</t>
  </si>
  <si>
    <t xml:space="preserve">Hjo Bryggeri</t>
  </si>
  <si>
    <t xml:space="preserve">08:00–21:00</t>
  </si>
  <si>
    <t xml:space="preserve">Hjärterums gård</t>
  </si>
  <si>
    <t xml:space="preserve">Hobjersgården</t>
  </si>
  <si>
    <t xml:space="preserve">Tomelilla</t>
  </si>
  <si>
    <t xml:space="preserve">Holländarehusgårdens gårdsbutik</t>
  </si>
  <si>
    <t xml:space="preserve">Holm Gård Ab</t>
  </si>
  <si>
    <t xml:space="preserve">Holm Kalvhagen</t>
  </si>
  <si>
    <t xml:space="preserve">Holmryds Mejeri</t>
  </si>
  <si>
    <t xml:space="preserve">Hop Shed Brew Pub</t>
  </si>
  <si>
    <t xml:space="preserve">Hops N' Leon of Skaraborg AB</t>
  </si>
  <si>
    <t xml:space="preserve">Hornuddens trädgård</t>
  </si>
  <si>
    <t xml:space="preserve">hornudden.net</t>
  </si>
  <si>
    <t xml:space="preserve">kontakt@hornudden.net</t>
  </si>
  <si>
    <t xml:space="preserve">Aspö Hornudden 4, 645 93 Strängnäs</t>
  </si>
  <si>
    <t xml:space="preserve">Hossmo gård – Bröllop och Festlokal vid</t>
  </si>
  <si>
    <t xml:space="preserve">Hufvudsta Gård Boutique House | Konferens Stockholm | Matlagningskurs | Restaurang</t>
  </si>
  <si>
    <t xml:space="preserve">08:00–23:00</t>
  </si>
  <si>
    <t xml:space="preserve">Hule Trädgård</t>
  </si>
  <si>
    <t xml:space="preserve">Hulte eko</t>
  </si>
  <si>
    <t xml:space="preserve">Hurva Gästgivaregård</t>
  </si>
  <si>
    <t xml:space="preserve">Husaren Bryggeri AB</t>
  </si>
  <si>
    <t xml:space="preserve">Huskvarna Brewing Company</t>
  </si>
  <si>
    <t xml:space="preserve">Hyllie Bryggeri</t>
  </si>
  <si>
    <t xml:space="preserve">Hållsunga gård och skafferi</t>
  </si>
  <si>
    <t xml:space="preserve">Hällby Gård vid Hjälmare kanal</t>
  </si>
  <si>
    <t xml:space="preserve">Hällåkra Vingård</t>
  </si>
  <si>
    <t xml:space="preserve">Härensås Mjölk</t>
  </si>
  <si>
    <t xml:space="preserve">Häxans Hus</t>
  </si>
  <si>
    <t xml:space="preserve">Höganäs Bryggeri</t>
  </si>
  <si>
    <t xml:space="preserve">Höganäs</t>
  </si>
  <si>
    <t xml:space="preserve">15:00–20:00</t>
  </si>
  <si>
    <t xml:space="preserve">Högberga Vinfabrik</t>
  </si>
  <si>
    <t xml:space="preserve">Lidingö</t>
  </si>
  <si>
    <t xml:space="preserve">Högens Gård AB</t>
  </si>
  <si>
    <t xml:space="preserve">Högtorp gårdsbutik</t>
  </si>
  <si>
    <t xml:space="preserve">Flens</t>
  </si>
  <si>
    <t xml:space="preserve">Hönsinge Hantwerksbryggeri</t>
  </si>
  <si>
    <t xml:space="preserve">Idas Köttlåda</t>
  </si>
  <si>
    <t xml:space="preserve">Idlewild Beer Café</t>
  </si>
  <si>
    <t xml:space="preserve">Illersjö Gård</t>
  </si>
  <si>
    <t xml:space="preserve">Imperial Brygghus</t>
  </si>
  <si>
    <t xml:space="preserve">Imperiebryggeriet</t>
  </si>
  <si>
    <t xml:space="preserve">Inez och Greta, Café och Bageri</t>
  </si>
  <si>
    <t xml:space="preserve">Inge Andersson Eftr Odlingar AB</t>
  </si>
  <si>
    <t xml:space="preserve">Ingers Smörgåsar</t>
  </si>
  <si>
    <t xml:space="preserve">Ingvaldstorps Trädgård</t>
  </si>
  <si>
    <t xml:space="preserve">Inlands Bryggeri</t>
  </si>
  <si>
    <t xml:space="preserve">Johnssons Gård</t>
  </si>
  <si>
    <t xml:space="preserve">Jonsereds Trädgårdskafé</t>
  </si>
  <si>
    <t xml:space="preserve">Julita Gård</t>
  </si>
  <si>
    <t xml:space="preserve">Katrineholms</t>
  </si>
  <si>
    <t xml:space="preserve">Juntras Grönt</t>
  </si>
  <si>
    <t xml:space="preserve">Ekerö</t>
  </si>
  <si>
    <t xml:space="preserve">Jürss Mejeri</t>
  </si>
  <si>
    <t xml:space="preserve">jurssmejeri.se</t>
  </si>
  <si>
    <t xml:space="preserve">0157-141 10</t>
  </si>
  <si>
    <t xml:space="preserve">jurssmejeri@jurssmejeri.se</t>
  </si>
  <si>
    <t xml:space="preserve">Gjutmästarbacken 1, 648 31 Hälleforsnäs</t>
  </si>
  <si>
    <t xml:space="preserve">Jädersbruks eko herrgård butik &amp; café</t>
  </si>
  <si>
    <t xml:space="preserve">Järna Musteri</t>
  </si>
  <si>
    <t xml:space="preserve">Södertälje</t>
  </si>
  <si>
    <t xml:space="preserve">Järnvirke Hönseri AB</t>
  </si>
  <si>
    <t xml:space="preserve">Kabbegården</t>
  </si>
  <si>
    <t xml:space="preserve">Kaffestugan vid Bottarve Museigård</t>
  </si>
  <si>
    <t xml:space="preserve">Kalmar Kött &amp; Bar</t>
  </si>
  <si>
    <t xml:space="preserve">Kalmar Musteri</t>
  </si>
  <si>
    <t xml:space="preserve">kalmarmusteri.se</t>
  </si>
  <si>
    <t xml:space="preserve">0766-86 18 64</t>
  </si>
  <si>
    <t xml:space="preserve">Rigavägen 2D, Kalmar</t>
  </si>
  <si>
    <t xml:space="preserve">Kanaans Trädgårdscafé</t>
  </si>
  <si>
    <t xml:space="preserve">Kaprifole gårdsbutik</t>
  </si>
  <si>
    <t xml:space="preserve">Karby Trädgård</t>
  </si>
  <si>
    <t xml:space="preserve">Karintorps tomater</t>
  </si>
  <si>
    <t xml:space="preserve">Karlskrona Musteri AB</t>
  </si>
  <si>
    <t xml:space="preserve">Katthammarsviks Rökeri</t>
  </si>
  <si>
    <t xml:space="preserve">Kesuddens Hantverksbryggeri</t>
  </si>
  <si>
    <t xml:space="preserve">Kilagårds Gröna | Butik &amp; Sommarcafé</t>
  </si>
  <si>
    <t xml:space="preserve">kilagardsgrona.com</t>
  </si>
  <si>
    <t xml:space="preserve">vid Kattegattleden</t>
  </si>
  <si>
    <t xml:space="preserve">Kilfröslunda gård</t>
  </si>
  <si>
    <t xml:space="preserve">Stallarholmen</t>
  </si>
  <si>
    <t xml:space="preserve">Kiviks Café &amp; Bageri</t>
  </si>
  <si>
    <t xml:space="preserve">07:30–16:30</t>
  </si>
  <si>
    <t xml:space="preserve">Kiviks Musteri</t>
  </si>
  <si>
    <t xml:space="preserve">kiviksmusteri.se</t>
  </si>
  <si>
    <t xml:space="preserve">0414-719 00</t>
  </si>
  <si>
    <t xml:space="preserve">info@kiviksmusteri.se</t>
  </si>
  <si>
    <t xml:space="preserve">Karakåsvägen 45, 277 35 Kivik</t>
  </si>
  <si>
    <t xml:space="preserve">Kiviks Musteri på Solnäs Gård</t>
  </si>
  <si>
    <t xml:space="preserve">vin; grönsaker</t>
  </si>
  <si>
    <t xml:space="preserve">Kiviks Trädgård AB</t>
  </si>
  <si>
    <t xml:space="preserve">Bromölla</t>
  </si>
  <si>
    <t xml:space="preserve">kivikstradgard.se</t>
  </si>
  <si>
    <t xml:space="preserve">0414-244 41</t>
  </si>
  <si>
    <t xml:space="preserve">info@kivikstradgard.se</t>
  </si>
  <si>
    <t xml:space="preserve">Mellby 112, 277 35 Kivik</t>
  </si>
  <si>
    <t xml:space="preserve">Klackabacken Bryggeri</t>
  </si>
  <si>
    <t xml:space="preserve">Klevarp 1:18</t>
  </si>
  <si>
    <t xml:space="preserve">10:00–15:30</t>
  </si>
  <si>
    <t xml:space="preserve">Klevs Gård Bovallstrand AB</t>
  </si>
  <si>
    <t xml:space="preserve">Kläckeberga Gård</t>
  </si>
  <si>
    <t xml:space="preserve">Knektebacken , gårdsbutik</t>
  </si>
  <si>
    <t xml:space="preserve">Götene</t>
  </si>
  <si>
    <t xml:space="preserve">Knyttes Gård</t>
  </si>
  <si>
    <t xml:space="preserve">Koberg Vilt &amp; Kobergs Gården Cafe</t>
  </si>
  <si>
    <t xml:space="preserve">Kollinge Torpargård</t>
  </si>
  <si>
    <t xml:space="preserve">Kolmårdens musteri</t>
  </si>
  <si>
    <t xml:space="preserve">Kopparsträdets Hembageri</t>
  </si>
  <si>
    <t xml:space="preserve">Kornheddinge Bryggerikompani</t>
  </si>
  <si>
    <t xml:space="preserve">Staffanstorp</t>
  </si>
  <si>
    <t xml:space="preserve">Korvpojkarna AB</t>
  </si>
  <si>
    <t xml:space="preserve">07:30–16:00</t>
  </si>
  <si>
    <t xml:space="preserve">Krogstorps gård</t>
  </si>
  <si>
    <t xml:space="preserve">Kronobergs Gårdsbutik</t>
  </si>
  <si>
    <t xml:space="preserve">Krusbärsgården</t>
  </si>
  <si>
    <t xml:space="preserve">Kruse Gård</t>
  </si>
  <si>
    <t xml:space="preserve">krusegard.se</t>
  </si>
  <si>
    <t xml:space="preserve">073-614 29 70</t>
  </si>
  <si>
    <t xml:space="preserve">emmyahlsten@gmail.com</t>
  </si>
  <si>
    <t xml:space="preserve">Alva Lilla Kruse 613, Gotland</t>
  </si>
  <si>
    <t xml:space="preserve">Krusmyntagården Butik</t>
  </si>
  <si>
    <t xml:space="preserve">Kryddsmedjan Gotland</t>
  </si>
  <si>
    <t xml:space="preserve">Kråkarps Gårdsmejeri</t>
  </si>
  <si>
    <t xml:space="preserve">krakarpsmejeri.se</t>
  </si>
  <si>
    <t xml:space="preserve">070-939 69 86</t>
  </si>
  <si>
    <t xml:space="preserve">elinor.krakarp@gmail.com</t>
  </si>
  <si>
    <t xml:space="preserve">Kråkarp 11, 513 97 Borgstena</t>
  </si>
  <si>
    <t xml:space="preserve">Kränku Te &amp; Kaffe</t>
  </si>
  <si>
    <t xml:space="preserve">Krönleins Bryggeri AB</t>
  </si>
  <si>
    <t xml:space="preserve">Kulla Gunnarstorp Gårdsbutik</t>
  </si>
  <si>
    <t xml:space="preserve">Kullabergs Vingård</t>
  </si>
  <si>
    <t xml:space="preserve">Kullabygdens Musteri AB</t>
  </si>
  <si>
    <t xml:space="preserve">Kullagårdens Glutenfria Stenugnsbageri</t>
  </si>
  <si>
    <t xml:space="preserve">Kungsbergs gård AB</t>
  </si>
  <si>
    <t xml:space="preserve">Kungsgårdens Musteri</t>
  </si>
  <si>
    <t xml:space="preserve">Eslöv</t>
  </si>
  <si>
    <t xml:space="preserve">Kungstorgets Brygghus</t>
  </si>
  <si>
    <t xml:space="preserve">11:00–01:00</t>
  </si>
  <si>
    <t xml:space="preserve">Kungsviks Gårdsbutik Lillstugan</t>
  </si>
  <si>
    <t xml:space="preserve">Kustbageriet AB</t>
  </si>
  <si>
    <t xml:space="preserve">Kvarnagårdens Bryggeri</t>
  </si>
  <si>
    <t xml:space="preserve">Kvarngärdets Odlarförening</t>
  </si>
  <si>
    <t xml:space="preserve">Kvarnholmsbryggeriet</t>
  </si>
  <si>
    <t xml:space="preserve">Kvarnnibble Butik och MusteriUpplands-</t>
  </si>
  <si>
    <t xml:space="preserve">Bro</t>
  </si>
  <si>
    <t xml:space="preserve">Kvia Grönsaker</t>
  </si>
  <si>
    <t xml:space="preserve">Kvibille Gästgivaregård</t>
  </si>
  <si>
    <t xml:space="preserve">Kvie Trädgård</t>
  </si>
  <si>
    <t xml:space="preserve">Kvillinge Gårdsbutik</t>
  </si>
  <si>
    <t xml:space="preserve">Kåhögs Mjölk</t>
  </si>
  <si>
    <t xml:space="preserve">Kålgårdens svampodling och gårdsbutik.</t>
  </si>
  <si>
    <t xml:space="preserve">12:30–13:30</t>
  </si>
  <si>
    <t xml:space="preserve">Kåseberga Fisk</t>
  </si>
  <si>
    <t xml:space="preserve">Käbbe Gård Musteri</t>
  </si>
  <si>
    <t xml:space="preserve">Källekulla Gård</t>
  </si>
  <si>
    <t xml:space="preserve">Mullsjö</t>
  </si>
  <si>
    <t xml:space="preserve">06:00–21:00</t>
  </si>
  <si>
    <t xml:space="preserve">Jönköpings län</t>
  </si>
  <si>
    <t xml:space="preserve">Källsjö Bryggeri AB</t>
  </si>
  <si>
    <t xml:space="preserve">11:00–14:00</t>
  </si>
  <si>
    <t xml:space="preserve">Källsprångs Gård</t>
  </si>
  <si>
    <t xml:space="preserve">Källunda Gård</t>
  </si>
  <si>
    <t xml:space="preserve">Kärrbo Prästgård</t>
  </si>
  <si>
    <t xml:space="preserve">karrboprastgard.se</t>
  </si>
  <si>
    <t xml:space="preserve">070-345 71 32</t>
  </si>
  <si>
    <t xml:space="preserve">bonden@karrboprastgard.se</t>
  </si>
  <si>
    <t xml:space="preserve">Kärrbo Prästgård 6, 725 97 Västerås</t>
  </si>
  <si>
    <t xml:space="preserve">Kärrets Grönsaker</t>
  </si>
  <si>
    <t xml:space="preserve">Kärrstegens Gård på Berg AB</t>
  </si>
  <si>
    <t xml:space="preserve">Kävlinge Bryggeri AB</t>
  </si>
  <si>
    <t xml:space="preserve">Köpingsbergs vingård</t>
  </si>
  <si>
    <t xml:space="preserve">Kött på riktigt</t>
  </si>
  <si>
    <t xml:space="preserve">Lackalänga Trädgård</t>
  </si>
  <si>
    <t xml:space="preserve">Ladan i Backa</t>
  </si>
  <si>
    <t xml:space="preserve">10:00–16:45</t>
  </si>
  <si>
    <t xml:space="preserve">Ladugård 206 I Saluhall I Ost I Delikatesser I Bistro I Inredning</t>
  </si>
  <si>
    <t xml:space="preserve">Lamm&amp;Bi</t>
  </si>
  <si>
    <t xml:space="preserve">Lammat i Bitterna / Gårdsbutiken på Backagården</t>
  </si>
  <si>
    <t xml:space="preserve">Lammboden Almungsgården</t>
  </si>
  <si>
    <t xml:space="preserve">Lammet och Bonden gårdsbutik</t>
  </si>
  <si>
    <t xml:space="preserve">Landets Goda Specerihandel -Restaurang Hotell &amp; Konferens</t>
  </si>
  <si>
    <t xml:space="preserve">09:30–18:00</t>
  </si>
  <si>
    <t xml:space="preserve">Lanemo Konditori &amp; Bageri AB</t>
  </si>
  <si>
    <t xml:space="preserve">07:00–18:00</t>
  </si>
  <si>
    <t xml:space="preserve">Lavelunds Gårdsbutik</t>
  </si>
  <si>
    <t xml:space="preserve">Laxbutiken Restaurang &amp; Konferens</t>
  </si>
  <si>
    <t xml:space="preserve">Lerbergs lunch o gårdscafe</t>
  </si>
  <si>
    <t xml:space="preserve">09:00–16:00</t>
  </si>
  <si>
    <t xml:space="preserve">Lida gård</t>
  </si>
  <si>
    <t xml:space="preserve">10:00–17:30</t>
  </si>
  <si>
    <t xml:space="preserve">Lida Trädgård AB</t>
  </si>
  <si>
    <t xml:space="preserve">Lidingö Musteri &amp; Fiket</t>
  </si>
  <si>
    <t xml:space="preserve">Lilla Brygghuset</t>
  </si>
  <si>
    <t xml:space="preserve">Lilla jordbruket</t>
  </si>
  <si>
    <t xml:space="preserve">Lilla Spännefalla</t>
  </si>
  <si>
    <t xml:space="preserve">Tibro</t>
  </si>
  <si>
    <t xml:space="preserve">Lillamattsa Blåbär Självplock</t>
  </si>
  <si>
    <t xml:space="preserve">Lillgårdens Bi och Trädgård</t>
  </si>
  <si>
    <t xml:space="preserve">Limmareds Säteri</t>
  </si>
  <si>
    <t xml:space="preserve">limmaredssateri.se</t>
  </si>
  <si>
    <t xml:space="preserve">076-786 69 57</t>
  </si>
  <si>
    <t xml:space="preserve">info@limmaredssateri.se</t>
  </si>
  <si>
    <t xml:space="preserve">Limmareds Säteri, 514 50 Limmared</t>
  </si>
  <si>
    <t xml:space="preserve">Linas lanthandel</t>
  </si>
  <si>
    <t xml:space="preserve">Linas och Binas AB</t>
  </si>
  <si>
    <t xml:space="preserve">Lindgårdens bigårdar</t>
  </si>
  <si>
    <t xml:space="preserve">Lindholmen gård</t>
  </si>
  <si>
    <t xml:space="preserve">Lindholms Gård</t>
  </si>
  <si>
    <t xml:space="preserve">Lis Mejeri</t>
  </si>
  <si>
    <t xml:space="preserve">Liselund Bryggeri &amp; Rökeri</t>
  </si>
  <si>
    <t xml:space="preserve">Lista - Åsby Gård</t>
  </si>
  <si>
    <t xml:space="preserve">Ljungbyholms Vingård</t>
  </si>
  <si>
    <t xml:space="preserve">Ljungsleds Plantskola</t>
  </si>
  <si>
    <t xml:space="preserve">Lokala Gårdar</t>
  </si>
  <si>
    <t xml:space="preserve">Lottenlund Estate Events AB</t>
  </si>
  <si>
    <t xml:space="preserve">Lovö Prästgård</t>
  </si>
  <si>
    <t xml:space="preserve">LPM-Potatis AB</t>
  </si>
  <si>
    <t xml:space="preserve">Luna Vingård &amp; Restaurang i Lysekil (fd. Luna Café)</t>
  </si>
  <si>
    <t xml:space="preserve">Lysekil</t>
  </si>
  <si>
    <t xml:space="preserve">Lundabryggeriet</t>
  </si>
  <si>
    <t xml:space="preserve">Lundabryggeriets Ölkällare</t>
  </si>
  <si>
    <t xml:space="preserve">11:30–23:00</t>
  </si>
  <si>
    <t xml:space="preserve">Lundabygdens Musteri</t>
  </si>
  <si>
    <t xml:space="preserve">Lunnagården</t>
  </si>
  <si>
    <t xml:space="preserve">Lustgårdens Biodling HB</t>
  </si>
  <si>
    <t xml:space="preserve">Lya Gård 101</t>
  </si>
  <si>
    <t xml:space="preserve">Lyckans Land</t>
  </si>
  <si>
    <t xml:space="preserve">LyckeLamm</t>
  </si>
  <si>
    <t xml:space="preserve">Långmyre Vineri - Vineriet</t>
  </si>
  <si>
    <t xml:space="preserve">langmyrevineri.com</t>
  </si>
  <si>
    <t xml:space="preserve">070-497 76 82</t>
  </si>
  <si>
    <t xml:space="preserve">emma.serner@langmyre.se</t>
  </si>
  <si>
    <t xml:space="preserve">Hamra Bertelsmässe 468, 623 32 Burgsvik</t>
  </si>
  <si>
    <t xml:space="preserve">Långmyre Vineri - Vingården</t>
  </si>
  <si>
    <t xml:space="preserve">Långås Bär Självplock</t>
  </si>
  <si>
    <t xml:space="preserve">Långås Potatis &amp; Rotfrukter AB</t>
  </si>
  <si>
    <t xml:space="preserve">Läckö Kött</t>
  </si>
  <si>
    <t xml:space="preserve">Lögens kvarn</t>
  </si>
  <si>
    <t xml:space="preserve">Löt Gårdsmejeri AB</t>
  </si>
  <si>
    <t xml:space="preserve">070-090 01 83</t>
  </si>
  <si>
    <t xml:space="preserve">lot.gardsmejeri@telia.com</t>
  </si>
  <si>
    <t xml:space="preserve">Löt Ryttargården 1, 583/585/590 Vikingstad</t>
  </si>
  <si>
    <t xml:space="preserve">Löten Lyckebo Hallongård</t>
  </si>
  <si>
    <t xml:space="preserve">Lövnäs Bryggeri</t>
  </si>
  <si>
    <t xml:space="preserve">Macken Bryggeri</t>
  </si>
  <si>
    <t xml:space="preserve">Magasinet Erikstorp</t>
  </si>
  <si>
    <t xml:space="preserve">Majas Cottage Gårdsbutik &amp; Bistro</t>
  </si>
  <si>
    <t xml:space="preserve">Majornas Bryggeri</t>
  </si>
  <si>
    <t xml:space="preserve">Malma Gård AB</t>
  </si>
  <si>
    <t xml:space="preserve">Värmdö</t>
  </si>
  <si>
    <t xml:space="preserve">Malmborgs konditori och Bageri</t>
  </si>
  <si>
    <t xml:space="preserve">Malmö Brewing Co &amp; Taproom</t>
  </si>
  <si>
    <t xml:space="preserve">Malte Gustavsson Frukt &amp; bär</t>
  </si>
  <si>
    <t xml:space="preserve">05:00–12:00</t>
  </si>
  <si>
    <t xml:space="preserve">Marcellos Farm</t>
  </si>
  <si>
    <t xml:space="preserve">Marcus Söderlind</t>
  </si>
  <si>
    <t xml:space="preserve">Margus Hemslöjd/ Gårdsbutik</t>
  </si>
  <si>
    <t xml:space="preserve">10:00–15:00</t>
  </si>
  <si>
    <t xml:space="preserve">Matsagårdens Lantbruks AB</t>
  </si>
  <si>
    <t xml:space="preserve">Mellansvenska Odlare ek för</t>
  </si>
  <si>
    <t xml:space="preserve">Mellomgårdens Café &amp; Gårdsbutik</t>
  </si>
  <si>
    <t xml:space="preserve">Miklagård</t>
  </si>
  <si>
    <t xml:space="preserve">15:00–21:00</t>
  </si>
  <si>
    <t xml:space="preserve">Mini Bryggeriet</t>
  </si>
  <si>
    <t xml:space="preserve">Minsjö Säteri</t>
  </si>
  <si>
    <t xml:space="preserve">Mittlandsgården</t>
  </si>
  <si>
    <t xml:space="preserve">Mjöviks Bageri &amp; Gårdsbutik AB</t>
  </si>
  <si>
    <t xml:space="preserve">Mobolet musteri &amp; gårdsförsäljning</t>
  </si>
  <si>
    <t xml:space="preserve">Molinvin</t>
  </si>
  <si>
    <t xml:space="preserve">Mormors Brödbod i Kalmar</t>
  </si>
  <si>
    <t xml:space="preserve">Mormors Stenugnsbageri &amp; kaffestuga i Stora Rör, Öland</t>
  </si>
  <si>
    <t xml:space="preserve">Morrarö odlingar &amp; nöjen</t>
  </si>
  <si>
    <t xml:space="preserve">Mossagårdens Ekologiska Odling &amp; Gårdsbutik</t>
  </si>
  <si>
    <t xml:space="preserve">Multikult Handelsträdgård</t>
  </si>
  <si>
    <t xml:space="preserve">Mundekulla gårdsbutik och café</t>
  </si>
  <si>
    <t xml:space="preserve">Munkebo Gård</t>
  </si>
  <si>
    <t xml:space="preserve">Munktorps kvarn</t>
  </si>
  <si>
    <t xml:space="preserve">Köping</t>
  </si>
  <si>
    <t xml:space="preserve">00:07–21:00</t>
  </si>
  <si>
    <t xml:space="preserve">Munktorp</t>
  </si>
  <si>
    <t xml:space="preserve">Mälby trädgård</t>
  </si>
  <si>
    <t xml:space="preserve">Enköpings</t>
  </si>
  <si>
    <t xml:space="preserve">Möllegårdens Morötter AB</t>
  </si>
  <si>
    <t xml:space="preserve">mollegardens.com</t>
  </si>
  <si>
    <t xml:space="preserve">070-694 08 86</t>
  </si>
  <si>
    <t xml:space="preserve">Löddeköpinge, Skåne</t>
  </si>
  <si>
    <t xml:space="preserve">Mölleholmen Gårdsbutik</t>
  </si>
  <si>
    <t xml:space="preserve">Möllekulla Länsmansgård</t>
  </si>
  <si>
    <t xml:space="preserve">mollekulla.se</t>
  </si>
  <si>
    <t xml:space="preserve">info@mollekulla.se</t>
  </si>
  <si>
    <t xml:space="preserve">Möllekullavägen 127, Sölvesborg</t>
  </si>
  <si>
    <t xml:space="preserve">Möllers bryggeri</t>
  </si>
  <si>
    <t xml:space="preserve">Ystad</t>
  </si>
  <si>
    <t xml:space="preserve">19:00–20:00</t>
  </si>
  <si>
    <t xml:space="preserve">Möllys Bryggeri</t>
  </si>
  <si>
    <t xml:space="preserve">Mölnlycke Garden Center</t>
  </si>
  <si>
    <t xml:space="preserve">Nacka Bryggeri</t>
  </si>
  <si>
    <t xml:space="preserve">Nacka</t>
  </si>
  <si>
    <t xml:space="preserve">Naturbruksförvaltningen Angereds gård</t>
  </si>
  <si>
    <t xml:space="preserve">Naturgården Västkött AB</t>
  </si>
  <si>
    <t xml:space="preserve">naturgarden.se</t>
  </si>
  <si>
    <t xml:space="preserve">031-52 28 32</t>
  </si>
  <si>
    <t xml:space="preserve">Bröndomevägen 170, 434 79 Vallda</t>
  </si>
  <si>
    <t xml:space="preserve">Nedanbäcks Gård AB</t>
  </si>
  <si>
    <t xml:space="preserve">Nellys Café och hembageri</t>
  </si>
  <si>
    <t xml:space="preserve">08:30–17:00</t>
  </si>
  <si>
    <t xml:space="preserve">Nibble Gårdsgris</t>
  </si>
  <si>
    <t xml:space="preserve">Nibble Trädgård och Gårdsbutik</t>
  </si>
  <si>
    <t xml:space="preserve">Nolbygårds Ekobageri &amp; Kafé</t>
  </si>
  <si>
    <t xml:space="preserve">Nora gård- loppis, café &amp; gårdsbutik</t>
  </si>
  <si>
    <t xml:space="preserve">Nordic Sea Winery | Showroom | Restaurant | Winebar</t>
  </si>
  <si>
    <t xml:space="preserve">Simrishamn</t>
  </si>
  <si>
    <t xml:space="preserve">Norins Ost Butiks AB Linköping</t>
  </si>
  <si>
    <t xml:space="preserve">Nornir Brewery AB</t>
  </si>
  <si>
    <t xml:space="preserve">16:00–20:00</t>
  </si>
  <si>
    <t xml:space="preserve">Norra Vångas Bryggeri AB</t>
  </si>
  <si>
    <t xml:space="preserve">Norregårdens Fågelfrö / Julgranar</t>
  </si>
  <si>
    <t xml:space="preserve">Nuntorp Gård</t>
  </si>
  <si>
    <t xml:space="preserve">Nya Askeby Trädgård</t>
  </si>
  <si>
    <t xml:space="preserve">Nya Carnegiebryggeriet</t>
  </si>
  <si>
    <t xml:space="preserve">11:00–23:00</t>
  </si>
  <si>
    <t xml:space="preserve">Nybynäs Gård</t>
  </si>
  <si>
    <t xml:space="preserve">Nyplings gårdsbutik</t>
  </si>
  <si>
    <t xml:space="preserve">Nyströms Trädgård Axamo AB</t>
  </si>
  <si>
    <t xml:space="preserve">Nyåkra köksträdgård</t>
  </si>
  <si>
    <t xml:space="preserve">Nättraby Kvartersbryggeri</t>
  </si>
  <si>
    <t xml:space="preserve">Nöbble Gård AB</t>
  </si>
  <si>
    <t xml:space="preserve">nobblegard.se</t>
  </si>
  <si>
    <t xml:space="preserve">070-626 52 26</t>
  </si>
  <si>
    <t xml:space="preserve">kontakt@nobblegard.se</t>
  </si>
  <si>
    <t xml:space="preserve">Nöbble Gård, 395 93 Rockneby</t>
  </si>
  <si>
    <t xml:space="preserve">O/O Bar</t>
  </si>
  <si>
    <t xml:space="preserve">16:30–23:00</t>
  </si>
  <si>
    <t xml:space="preserve">O/O Brewing</t>
  </si>
  <si>
    <t xml:space="preserve">Oceanbryggeriet</t>
  </si>
  <si>
    <t xml:space="preserve">07:30–15:30</t>
  </si>
  <si>
    <t xml:space="preserve">Odensjö Östergård</t>
  </si>
  <si>
    <t xml:space="preserve">Ollajvs Gård</t>
  </si>
  <si>
    <t xml:space="preserve">Olofmånsgårdens Skafferi</t>
  </si>
  <si>
    <t xml:space="preserve">Olsängs Potatis AB</t>
  </si>
  <si>
    <t xml:space="preserve">07:00–19:00</t>
  </si>
  <si>
    <t xml:space="preserve">olsangspotatis.se</t>
  </si>
  <si>
    <t xml:space="preserve">0708-523 726</t>
  </si>
  <si>
    <t xml:space="preserve">perolof@olsangspotatis.se</t>
  </si>
  <si>
    <t xml:space="preserve">Olsängsvägen 11, 373 78 Fågelmara</t>
  </si>
  <si>
    <t xml:space="preserve">Ombergsboden</t>
  </si>
  <si>
    <t xml:space="preserve">Ödeshög</t>
  </si>
  <si>
    <t xml:space="preserve">Orchis - Gårdsbutiken i Stan</t>
  </si>
  <si>
    <t xml:space="preserve">Orranäs Gårdsmejeri</t>
  </si>
  <si>
    <t xml:space="preserve">orranasgardsmejeri.se</t>
  </si>
  <si>
    <t xml:space="preserve">0455-525 40 / 0760-52 97 77</t>
  </si>
  <si>
    <t xml:space="preserve">info@orranasgardsmejeri.se</t>
  </si>
  <si>
    <t xml:space="preserve">Orranäs 436, 373 75 Jämjö</t>
  </si>
  <si>
    <t xml:space="preserve">Orusts Lantbrukshandel</t>
  </si>
  <si>
    <t xml:space="preserve">Ostbutiken</t>
  </si>
  <si>
    <t xml:space="preserve">Ottarps Torp Gårdsbutik</t>
  </si>
  <si>
    <t xml:space="preserve">Oxhallen</t>
  </si>
  <si>
    <t xml:space="preserve">PA Frukt AB</t>
  </si>
  <si>
    <t xml:space="preserve">PangPang Brewery Hökarängen - Endast Sommaröppet - Hornstull öppet året runt!</t>
  </si>
  <si>
    <t xml:space="preserve">Pantängens Trädgårdsodling</t>
  </si>
  <si>
    <t xml:space="preserve">Pax Brygghus</t>
  </si>
  <si>
    <t xml:space="preserve">Pernmyrs Gård (Karebygården)</t>
  </si>
  <si>
    <t xml:space="preserve">Persgårdens Ekologiska AB</t>
  </si>
  <si>
    <t xml:space="preserve">Perstorp101</t>
  </si>
  <si>
    <t xml:space="preserve">Petersborgs Gård</t>
  </si>
  <si>
    <t xml:space="preserve">Petras Bikupa Gårdsbutik Honung</t>
  </si>
  <si>
    <t xml:space="preserve">Piggaboda Kvarn</t>
  </si>
  <si>
    <t xml:space="preserve">Pine Brewing Company</t>
  </si>
  <si>
    <t xml:space="preserve">PKLK Bryggeri</t>
  </si>
  <si>
    <t xml:space="preserve">Stockholms</t>
  </si>
  <si>
    <t xml:space="preserve">PlantRiket</t>
  </si>
  <si>
    <t xml:space="preserve">09:00–15:00</t>
  </si>
  <si>
    <t xml:space="preserve">Polfärskt Bröd</t>
  </si>
  <si>
    <t xml:space="preserve">Poppels Bryggeri</t>
  </si>
  <si>
    <t xml:space="preserve">Poppels Citybryggeri</t>
  </si>
  <si>
    <t xml:space="preserve">Poppels Öl&amp;Mat</t>
  </si>
  <si>
    <t xml:space="preserve">Proton Brewery</t>
  </si>
  <si>
    <t xml:space="preserve">Proviant Humlegården</t>
  </si>
  <si>
    <t xml:space="preserve">Prästakvarna Gårdsbutik</t>
  </si>
  <si>
    <t xml:space="preserve">Prästgården Annerstad</t>
  </si>
  <si>
    <t xml:space="preserve">Prästgårdens Mejeri</t>
  </si>
  <si>
    <t xml:space="preserve">Purity Distillery</t>
  </si>
  <si>
    <t xml:space="preserve">Quna AB</t>
  </si>
  <si>
    <t xml:space="preserve">Qvarnens Bryggeri &amp; Destilleri</t>
  </si>
  <si>
    <t xml:space="preserve">öl; sprit</t>
  </si>
  <si>
    <t xml:space="preserve">Qvänum Mat &amp; Malt AB</t>
  </si>
  <si>
    <t xml:space="preserve">qmm.se</t>
  </si>
  <si>
    <t xml:space="preserve">0512-938 23</t>
  </si>
  <si>
    <t xml:space="preserve">info@qmm.se</t>
  </si>
  <si>
    <t xml:space="preserve">Gategården, 535 91 Kvänum</t>
  </si>
  <si>
    <t xml:space="preserve">Ragnarssons - ekologiskt naturligtvis</t>
  </si>
  <si>
    <t xml:space="preserve">Ramhulta Gård</t>
  </si>
  <si>
    <t xml:space="preserve">Ramsjö gårdsprodukter</t>
  </si>
  <si>
    <t xml:space="preserve">ramsjogardsprodukter.com</t>
  </si>
  <si>
    <t xml:space="preserve">018-37 09 21</t>
  </si>
  <si>
    <t xml:space="preserve">Ramsjö gård 105, 743 63 Björklinge</t>
  </si>
  <si>
    <t xml:space="preserve">Ranarve Gårdshandel</t>
  </si>
  <si>
    <t xml:space="preserve">Ravelsmarks gårdsbutik och café</t>
  </si>
  <si>
    <t xml:space="preserve">REMMARLÖV GÅRDSBRYGGERI AB</t>
  </si>
  <si>
    <t xml:space="preserve">Resta gård</t>
  </si>
  <si>
    <t xml:space="preserve">restagard.se</t>
  </si>
  <si>
    <t xml:space="preserve">072-221 13 01</t>
  </si>
  <si>
    <t xml:space="preserve">Nysätra Resta gård 13, 749 63 Örsundsbro</t>
  </si>
  <si>
    <t xml:space="preserve">Resta gårdsbutik</t>
  </si>
  <si>
    <t xml:space="preserve">Resta Gårdsbutik</t>
  </si>
  <si>
    <t xml:space="preserve">Restaurang Bryggeriet Avenyn</t>
  </si>
  <si>
    <t xml:space="preserve">Restaurang Falkenbergska Kvarnen</t>
  </si>
  <si>
    <t xml:space="preserve">Restaurang Logen</t>
  </si>
  <si>
    <t xml:space="preserve">07:30–23:30</t>
  </si>
  <si>
    <t xml:space="preserve">Restaurang ÄNG</t>
  </si>
  <si>
    <t xml:space="preserve">08:30–11:30</t>
  </si>
  <si>
    <t xml:space="preserve">Resville Mathantverk</t>
  </si>
  <si>
    <t xml:space="preserve">Resö Gård AB</t>
  </si>
  <si>
    <t xml:space="preserve">Ridgedale Farm</t>
  </si>
  <si>
    <t xml:space="preserve">Riksdagsmannagården</t>
  </si>
  <si>
    <t xml:space="preserve">riksdagsmannagarden.se</t>
  </si>
  <si>
    <t xml:space="preserve">0768-460 021 / 0708-183 702</t>
  </si>
  <si>
    <t xml:space="preserve">riksdagsmannagarden@live.se</t>
  </si>
  <si>
    <t xml:space="preserve">Törnerydsvägen 302, 374 96 Trensum</t>
  </si>
  <si>
    <t xml:space="preserve">Ringu</t>
  </si>
  <si>
    <t xml:space="preserve">Rinkaby Gård AB</t>
  </si>
  <si>
    <t xml:space="preserve">rinkabygard.se</t>
  </si>
  <si>
    <t xml:space="preserve">073-092 13 16</t>
  </si>
  <si>
    <t xml:space="preserve">Rinkaby Gatugård 2, Tävelsås</t>
  </si>
  <si>
    <t xml:space="preserve">Rinkeby Kött&amp;Vilt</t>
  </si>
  <si>
    <t xml:space="preserve">Rit &amp; Målerigården, Butik, utställning &amp; café (våffelstuga vår sommar, helger på hösten) (farmcafé and designshop)</t>
  </si>
  <si>
    <t xml:space="preserve">13:00–17:00</t>
  </si>
  <si>
    <t xml:space="preserve">Ritz Conditori och Bageri i Sölvesborg</t>
  </si>
  <si>
    <t xml:space="preserve">Rocket Brewing Company AB</t>
  </si>
  <si>
    <t xml:space="preserve">Rommunds fårgård</t>
  </si>
  <si>
    <t xml:space="preserve">gotlandslamm.se</t>
  </si>
  <si>
    <t xml:space="preserve">070-947 61 28</t>
  </si>
  <si>
    <t xml:space="preserve">info@gotlandslamm.se</t>
  </si>
  <si>
    <t xml:space="preserve">Gammelgarn Rommunds 612, 623 67 Katthammarsvik</t>
  </si>
  <si>
    <t xml:space="preserve">Rone Smissarve - Grönsaker &amp; bär</t>
  </si>
  <si>
    <t xml:space="preserve">Rosegarden</t>
  </si>
  <si>
    <t xml:space="preserve">11:30–14:30</t>
  </si>
  <si>
    <t xml:space="preserve">Rosendals Trädgård</t>
  </si>
  <si>
    <t xml:space="preserve">Rosendals Trädgårdskafé</t>
  </si>
  <si>
    <t xml:space="preserve">Rosenhills Gårdsbutik i Härryda</t>
  </si>
  <si>
    <t xml:space="preserve">Rosenhills Trädgård och Musteri</t>
  </si>
  <si>
    <t xml:space="preserve">rosenhill.nu</t>
  </si>
  <si>
    <t xml:space="preserve">08-560 200 60</t>
  </si>
  <si>
    <t xml:space="preserve">Rosenhill, 178 90 Ekerö</t>
  </si>
  <si>
    <t xml:space="preserve">Rosenlunds Trädgård / Clezome AB</t>
  </si>
  <si>
    <t xml:space="preserve">Roslagens Musteri AB</t>
  </si>
  <si>
    <t xml:space="preserve">Österåker</t>
  </si>
  <si>
    <t xml:space="preserve">Ruckel Brewing</t>
  </si>
  <si>
    <t xml:space="preserve">Rudenstams Gårdsbutik &amp; Kafé</t>
  </si>
  <si>
    <t xml:space="preserve">rudenstam.se</t>
  </si>
  <si>
    <t xml:space="preserve">036-330 05 10 / 036-33 00 500</t>
  </si>
  <si>
    <t xml:space="preserve">info@rudenstam.se</t>
  </si>
  <si>
    <t xml:space="preserve">Rudu Gård 50, 561 92 Huskvarna</t>
  </si>
  <si>
    <t xml:space="preserve">Rugstorps Lantgård Cafe &amp; Butik</t>
  </si>
  <si>
    <t xml:space="preserve">Rydebäcks Gårdsbutik</t>
  </si>
  <si>
    <t xml:space="preserve">Rydsnäs Lanthandel</t>
  </si>
  <si>
    <t xml:space="preserve">Rykets gård</t>
  </si>
  <si>
    <t xml:space="preserve">Råbytorp Gårdsbutik</t>
  </si>
  <si>
    <t xml:space="preserve">Råda Säteri Trädgårdscafé</t>
  </si>
  <si>
    <t xml:space="preserve">Rådanäs Bryggeri</t>
  </si>
  <si>
    <t xml:space="preserve">Räveboda Plantskola</t>
  </si>
  <si>
    <t xml:space="preserve">Rö Gårdsmejeri</t>
  </si>
  <si>
    <t xml:space="preserve">rogardsmejeri.se</t>
  </si>
  <si>
    <t xml:space="preserve">Rö, Norrtälje</t>
  </si>
  <si>
    <t xml:space="preserve">Röcklingers Handelsträdgård</t>
  </si>
  <si>
    <t xml:space="preserve">Rödsgubben självplock</t>
  </si>
  <si>
    <t xml:space="preserve">Röe Gård Butik</t>
  </si>
  <si>
    <t xml:space="preserve">Rökeriet mellan Åhus &amp; Yngsjö</t>
  </si>
  <si>
    <t xml:space="preserve">Rörsås Lantliv</t>
  </si>
  <si>
    <t xml:space="preserve">Röttle Humlegård / bryggeri</t>
  </si>
  <si>
    <t xml:space="preserve">Sad Robot Brewing</t>
  </si>
  <si>
    <t xml:space="preserve">Sallmunds Gård AB</t>
  </si>
  <si>
    <t xml:space="preserve">Saluhallen Majorna Deli &amp; Vilt AB &amp; ConservCompaniet</t>
  </si>
  <si>
    <t xml:space="preserve">Sammels Lantgård</t>
  </si>
  <si>
    <t xml:space="preserve">Sara och Anders Jordgubbar</t>
  </si>
  <si>
    <t xml:space="preserve">Schweizeri Callanderska Gården - Mariefreds trädgårdscafé</t>
  </si>
  <si>
    <t xml:space="preserve">Sevedstorps Gård</t>
  </si>
  <si>
    <t xml:space="preserve">Sibräcka Prästgård</t>
  </si>
  <si>
    <t xml:space="preserve">Sigsarve lamb</t>
  </si>
  <si>
    <t xml:space="preserve">Sigvard Månsgård &amp; Gårdsbutik</t>
  </si>
  <si>
    <t xml:space="preserve">Åstorp</t>
  </si>
  <si>
    <t xml:space="preserve">Sikta Stenugnsbageri på gården</t>
  </si>
  <si>
    <t xml:space="preserve">Sinnenas Spa</t>
  </si>
  <si>
    <t xml:space="preserve">Själsö Bageri</t>
  </si>
  <si>
    <t xml:space="preserve">Sjöfallets Honungsbin &amp; Äppelmusteri</t>
  </si>
  <si>
    <t xml:space="preserve">vin; honung</t>
  </si>
  <si>
    <t xml:space="preserve">Sjögårdens Café vid Vombsjön</t>
  </si>
  <si>
    <t xml:space="preserve">Sjöholms Gård</t>
  </si>
  <si>
    <t xml:space="preserve">Sjölyckornas Gårdsbutik</t>
  </si>
  <si>
    <t xml:space="preserve">sjolyckorna.se</t>
  </si>
  <si>
    <t xml:space="preserve">070-284 85 55</t>
  </si>
  <si>
    <t xml:space="preserve">Gåtahult Sjölyckorna 1, Ingelstad</t>
  </si>
  <si>
    <t xml:space="preserve">Sjöstens Hjorthägn</t>
  </si>
  <si>
    <t xml:space="preserve">sjostenshjorthagn.se</t>
  </si>
  <si>
    <t xml:space="preserve">0733-42 44 82</t>
  </si>
  <si>
    <t xml:space="preserve">info@sjostenshjorthagn.se</t>
  </si>
  <si>
    <t xml:space="preserve">Norra Kråkerumsvägen 53, Jämjö</t>
  </si>
  <si>
    <t xml:space="preserve">Skaftö Vingård</t>
  </si>
  <si>
    <t xml:space="preserve">Skags Gård AB</t>
  </si>
  <si>
    <t xml:space="preserve">Skattegårdens Lantost</t>
  </si>
  <si>
    <t xml:space="preserve">lantost.com</t>
  </si>
  <si>
    <t xml:space="preserve">0322-430 03</t>
  </si>
  <si>
    <t xml:space="preserve">info@lantost.com</t>
  </si>
  <si>
    <t xml:space="preserve">Höggärdetvägen 2, 441 74 Sollebrunn</t>
  </si>
  <si>
    <t xml:space="preserve">Skedet must &amp; trädgård AB</t>
  </si>
  <si>
    <t xml:space="preserve">Skedevi Gård</t>
  </si>
  <si>
    <t xml:space="preserve">Skenstaboá gårdsbutik</t>
  </si>
  <si>
    <t xml:space="preserve">Skepparps Vingård</t>
  </si>
  <si>
    <t xml:space="preserve">Skillebyholms Gårdsbutik</t>
  </si>
  <si>
    <t xml:space="preserve">Skirfalls jordgubbsodling</t>
  </si>
  <si>
    <t xml:space="preserve">grönsaker; bär</t>
  </si>
  <si>
    <t xml:space="preserve">Grönsaker; Frukt &amp; bär</t>
  </si>
  <si>
    <t xml:space="preserve">Skogslidens bär</t>
  </si>
  <si>
    <t xml:space="preserve">Skogslidens Gårdsbutik</t>
  </si>
  <si>
    <t xml:space="preserve">Skogsträdgårdens växter</t>
  </si>
  <si>
    <t xml:space="preserve">skottorpsmejeri.se</t>
  </si>
  <si>
    <t xml:space="preserve">0702-682257 / 040-31 39 00</t>
  </si>
  <si>
    <t xml:space="preserve">Skottorps Slott, 312 96 Laholm</t>
  </si>
  <si>
    <t xml:space="preserve">Skrea Ost</t>
  </si>
  <si>
    <t xml:space="preserve">skreaost.se</t>
  </si>
  <si>
    <t xml:space="preserve">0708-28 36 50</t>
  </si>
  <si>
    <t xml:space="preserve">kontakt@skreaost.se</t>
  </si>
  <si>
    <t xml:space="preserve">Skrea, Falkenberg</t>
  </si>
  <si>
    <t xml:space="preserve">Skålldals lilla eko mejeri</t>
  </si>
  <si>
    <t xml:space="preserve">skalldalslillaekomejeri.se</t>
  </si>
  <si>
    <t xml:space="preserve">070-345 41 64</t>
  </si>
  <si>
    <t xml:space="preserve">skalldalslillaekomejeri@gmail.com</t>
  </si>
  <si>
    <t xml:space="preserve">Skålldal 340, 442 96 Kode</t>
  </si>
  <si>
    <t xml:space="preserve">Skånehill Gård</t>
  </si>
  <si>
    <t xml:space="preserve">skanehill.se</t>
  </si>
  <si>
    <t xml:space="preserve">070-856 96 37</t>
  </si>
  <si>
    <t xml:space="preserve">butik@skanehill.se</t>
  </si>
  <si>
    <t xml:space="preserve">Östra Storgatan 99, 260 60 Kvidinge</t>
  </si>
  <si>
    <t xml:space="preserve">Skånska Vilt AB</t>
  </si>
  <si>
    <t xml:space="preserve">Skåra Gårdsbageri</t>
  </si>
  <si>
    <t xml:space="preserve">Skälby 4H-gård</t>
  </si>
  <si>
    <t xml:space="preserve">Skärvångens Bymejeri AB</t>
  </si>
  <si>
    <t xml:space="preserve">Skönfärgaregården Butik &amp; Våffelstuga</t>
  </si>
  <si>
    <t xml:space="preserve">Skövde Slakteri AB</t>
  </si>
  <si>
    <t xml:space="preserve">Slakthusets köttbod</t>
  </si>
  <si>
    <t xml:space="preserve">slakthusetskottbod.se</t>
  </si>
  <si>
    <t xml:space="preserve">073-514 10 11</t>
  </si>
  <si>
    <t xml:space="preserve">Borgaregatan 19, Göteborg</t>
  </si>
  <si>
    <t xml:space="preserve">Slottskällans Bryggeri</t>
  </si>
  <si>
    <t xml:space="preserve">Slottsmagnolian trädgårdsbutik AB</t>
  </si>
  <si>
    <t xml:space="preserve">Slottsträdgårdens Kafé</t>
  </si>
  <si>
    <t xml:space="preserve">11:00–15:30</t>
  </si>
  <si>
    <t xml:space="preserve">Slåttergubben AB</t>
  </si>
  <si>
    <t xml:space="preserve">Slättarps gård</t>
  </si>
  <si>
    <t xml:space="preserve">Smakgården</t>
  </si>
  <si>
    <t xml:space="preserve">Smakverkstan Bryggeri</t>
  </si>
  <si>
    <t xml:space="preserve">Smeabondens Gård</t>
  </si>
  <si>
    <t xml:space="preserve">Smedjans trädgård - Handelsträdgård i Mariefred</t>
  </si>
  <si>
    <t xml:space="preserve">Smisken Brewery</t>
  </si>
  <si>
    <t xml:space="preserve">Snickaretorpet Vedugn &amp; Butik</t>
  </si>
  <si>
    <t xml:space="preserve">Snårestad Vingård</t>
  </si>
  <si>
    <t xml:space="preserve">snarestadvin.se</t>
  </si>
  <si>
    <t xml:space="preserve">070-412 88 33</t>
  </si>
  <si>
    <t xml:space="preserve">info@snarestadvin.se</t>
  </si>
  <si>
    <t xml:space="preserve">Snårestad Lyckeväg 121, 271 93 Ystad</t>
  </si>
  <si>
    <t xml:space="preserve">Sojdungs Gård &amp; Betong AB</t>
  </si>
  <si>
    <t xml:space="preserve">Solby gård</t>
  </si>
  <si>
    <t xml:space="preserve">Vallby, Eskilstuna</t>
  </si>
  <si>
    <t xml:space="preserve">Solhaga Stenugnsbageri</t>
  </si>
  <si>
    <t xml:space="preserve">Solmarka Gårdsbutik</t>
  </si>
  <si>
    <t xml:space="preserve">10:30–18:00</t>
  </si>
  <si>
    <t xml:space="preserve">solmarka.se</t>
  </si>
  <si>
    <t xml:space="preserve">0480-361 55</t>
  </si>
  <si>
    <t xml:space="preserve">Arby 207, 388 94 Vassmolösa</t>
  </si>
  <si>
    <t xml:space="preserve">Solåkra Gård</t>
  </si>
  <si>
    <t xml:space="preserve">Sorby Bi &amp; Trädgård</t>
  </si>
  <si>
    <t xml:space="preserve">South Plains Brewing Company</t>
  </si>
  <si>
    <t xml:space="preserve">Spendrups Bryggeri Ab</t>
  </si>
  <si>
    <t xml:space="preserve">Spendrups Bryggeri AB</t>
  </si>
  <si>
    <t xml:space="preserve">Spike Brewery &amp; Taproom</t>
  </si>
  <si>
    <t xml:space="preserve">Stafsäter Gårdsglass</t>
  </si>
  <si>
    <t xml:space="preserve">stafsater.se</t>
  </si>
  <si>
    <t xml:space="preserve">ca 2 mil SO Linköping</t>
  </si>
  <si>
    <t xml:space="preserve">Stafva Gårdsbutik</t>
  </si>
  <si>
    <t xml:space="preserve">sjaustrukocken.se / stafva.se</t>
  </si>
  <si>
    <t xml:space="preserve">0498-310 05 / 070-073 14 04</t>
  </si>
  <si>
    <t xml:space="preserve">sjaustrukocken753@gmail.com</t>
  </si>
  <si>
    <t xml:space="preserve">Barlingbo Stafva 300, 621 78 Visby</t>
  </si>
  <si>
    <t xml:space="preserve">Stegsholms gård</t>
  </si>
  <si>
    <t xml:space="preserve">Stenhuse Gård</t>
  </si>
  <si>
    <t xml:space="preserve">stenhusegard.se</t>
  </si>
  <si>
    <t xml:space="preserve">070-731 23 16</t>
  </si>
  <si>
    <t xml:space="preserve">stenhusegard@hotmail.com</t>
  </si>
  <si>
    <t xml:space="preserve">Sanda Stenhuse 243, 623 79 Klintehamn</t>
  </si>
  <si>
    <t xml:space="preserve">Stensjö Ägg</t>
  </si>
  <si>
    <t xml:space="preserve">Stenslunds Gård</t>
  </si>
  <si>
    <t xml:space="preserve">Hallstahammars</t>
  </si>
  <si>
    <t xml:space="preserve">Stensö Hembageri</t>
  </si>
  <si>
    <t xml:space="preserve">Stiftelsen Rosendals Trädgård</t>
  </si>
  <si>
    <t xml:space="preserve">Stigbergets Bryggeri</t>
  </si>
  <si>
    <t xml:space="preserve">Stigbergets Shangri-La</t>
  </si>
  <si>
    <t xml:space="preserve">Stjernsunds Gård - Butiken Stjernsund</t>
  </si>
  <si>
    <t xml:space="preserve">Stjärnhovs kaningård</t>
  </si>
  <si>
    <t xml:space="preserve">Stjärnhov</t>
  </si>
  <si>
    <t xml:space="preserve">Stora Berg Självplock, Kafé &amp; pizzeria - Hallands Bär</t>
  </si>
  <si>
    <t xml:space="preserve">Stora Bergstorps Trädgård</t>
  </si>
  <si>
    <t xml:space="preserve">Stora Björksved gårdsbutik</t>
  </si>
  <si>
    <t xml:space="preserve">storabjorksved.se</t>
  </si>
  <si>
    <t xml:space="preserve">Stora Ekeby Säteri Gårdsbutiken Mangelboden</t>
  </si>
  <si>
    <t xml:space="preserve">Stora horns vingård</t>
  </si>
  <si>
    <t xml:space="preserve">Stora Hycklinge</t>
  </si>
  <si>
    <t xml:space="preserve">Stora Sundby Gårdsbutik</t>
  </si>
  <si>
    <t xml:space="preserve">Stora Tollby Trädgård AB</t>
  </si>
  <si>
    <t xml:space="preserve">Strandlida Bryggeri</t>
  </si>
  <si>
    <t xml:space="preserve">Strands Gård - Gårdsbutik</t>
  </si>
  <si>
    <t xml:space="preserve">Strömbecks Gårdsslakt &amp; Chark</t>
  </si>
  <si>
    <t xml:space="preserve">07:15–12:00</t>
  </si>
  <si>
    <t xml:space="preserve">Strömsholms honung</t>
  </si>
  <si>
    <t xml:space="preserve">Stubbetorp Potatis AB</t>
  </si>
  <si>
    <t xml:space="preserve">STUK</t>
  </si>
  <si>
    <t xml:space="preserve">08:00–20:30</t>
  </si>
  <si>
    <t xml:space="preserve">Subbe Bryggeri AB</t>
  </si>
  <si>
    <t xml:space="preserve">Sunnantorps gård</t>
  </si>
  <si>
    <t xml:space="preserve">Sunnegården Grönsaker</t>
  </si>
  <si>
    <t xml:space="preserve">Sunnerborgs gårdsbutik</t>
  </si>
  <si>
    <t xml:space="preserve">Susegård Gårdsförsäljning</t>
  </si>
  <si>
    <t xml:space="preserve">Halmstadstrakten</t>
  </si>
  <si>
    <t xml:space="preserve">SV Gårdskök</t>
  </si>
  <si>
    <t xml:space="preserve">11:00–21:00</t>
  </si>
  <si>
    <t xml:space="preserve">Svedberga Plantskola AB</t>
  </si>
  <si>
    <t xml:space="preserve">Systrarna Lindqvist Cafe &amp; Surdegsbageri</t>
  </si>
  <si>
    <t xml:space="preserve">Systrarna På Gaggeska Gården</t>
  </si>
  <si>
    <t xml:space="preserve">Sånnagården AB</t>
  </si>
  <si>
    <t xml:space="preserve">Säby Gård, Ingarö</t>
  </si>
  <si>
    <t xml:space="preserve">Ingarö, Värmdö</t>
  </si>
  <si>
    <t xml:space="preserve">Säbygård i Huskvarna AB</t>
  </si>
  <si>
    <t xml:space="preserve">Sänkdalens Gård</t>
  </si>
  <si>
    <t xml:space="preserve">sankdalensgard.se</t>
  </si>
  <si>
    <t xml:space="preserve">Vikbolandet</t>
  </si>
  <si>
    <t xml:space="preserve">Särdal Andersgård</t>
  </si>
  <si>
    <t xml:space="preserve">Särdals kvarn</t>
  </si>
  <si>
    <t xml:space="preserve">Sävedalens Gårdscafé</t>
  </si>
  <si>
    <t xml:space="preserve">08:30–16:00</t>
  </si>
  <si>
    <t xml:space="preserve">Sörbo Gård Orust - Lantbruk, trädfällning och stubbfräsning</t>
  </si>
  <si>
    <t xml:space="preserve">Sörbro gård</t>
  </si>
  <si>
    <t xml:space="preserve">Sörgården grönt</t>
  </si>
  <si>
    <t xml:space="preserve">Sörgården Måla</t>
  </si>
  <si>
    <t xml:space="preserve">Sörgården Slakteri &amp; Gårdsbutik</t>
  </si>
  <si>
    <t xml:space="preserve">Sörgårdens Gästgiveri</t>
  </si>
  <si>
    <t xml:space="preserve">Sörgårdsmjölk</t>
  </si>
  <si>
    <t xml:space="preserve">Sövde Musteri</t>
  </si>
  <si>
    <t xml:space="preserve">Tap Town</t>
  </si>
  <si>
    <t xml:space="preserve">Taxinge Bryggeri</t>
  </si>
  <si>
    <t xml:space="preserve">Nykvarns</t>
  </si>
  <si>
    <t xml:space="preserve">Tegens Butik</t>
  </si>
  <si>
    <t xml:space="preserve">The Bishops Arms, Kungsgatan (Växjö)</t>
  </si>
  <si>
    <t xml:space="preserve">17:00–00:00</t>
  </si>
  <si>
    <t xml:space="preserve">The Piraya Brewery</t>
  </si>
  <si>
    <t xml:space="preserve">Strömstad</t>
  </si>
  <si>
    <t xml:space="preserve">The Uncharted Brewing Company AB</t>
  </si>
  <si>
    <t xml:space="preserve">09:00–15:30</t>
  </si>
  <si>
    <t xml:space="preserve">Thora Vingård</t>
  </si>
  <si>
    <t xml:space="preserve">Thoragårds Gårdsbutik</t>
  </si>
  <si>
    <t xml:space="preserve">thoragard.se</t>
  </si>
  <si>
    <t xml:space="preserve">070-587 63 58</t>
  </si>
  <si>
    <t xml:space="preserve">Vegby Thoragård 2, Moheda</t>
  </si>
  <si>
    <t xml:space="preserve">Thorslunda självplock</t>
  </si>
  <si>
    <t xml:space="preserve">Sundbybergs</t>
  </si>
  <si>
    <t xml:space="preserve">Timjans Brygghus</t>
  </si>
  <si>
    <t xml:space="preserve">Timmelsta honung</t>
  </si>
  <si>
    <t xml:space="preserve">Tinas Köttbutik i Mölnlycke</t>
  </si>
  <si>
    <t xml:space="preserve">Tiraholms Fisk</t>
  </si>
  <si>
    <t xml:space="preserve">tiraholm.se</t>
  </si>
  <si>
    <t xml:space="preserve">Bolmens västra strand</t>
  </si>
  <si>
    <t xml:space="preserve">Tjolöholms Gård</t>
  </si>
  <si>
    <t xml:space="preserve">Tofta Odlarförening</t>
  </si>
  <si>
    <t xml:space="preserve">Tofta Strandbageri</t>
  </si>
  <si>
    <t xml:space="preserve">Tolfta Gård</t>
  </si>
  <si>
    <t xml:space="preserve">Tolånga 17 - gårdsbutik</t>
  </si>
  <si>
    <t xml:space="preserve">Tomatens Hus</t>
  </si>
  <si>
    <t xml:space="preserve">Torfolk Gård gårdsbutik</t>
  </si>
  <si>
    <t xml:space="preserve">Torna Hällestad Lanthandel</t>
  </si>
  <si>
    <t xml:space="preserve">Torsöl Microbryggeri AB</t>
  </si>
  <si>
    <t xml:space="preserve">Tosterups Gård AB</t>
  </si>
  <si>
    <t xml:space="preserve">tosterup.se</t>
  </si>
  <si>
    <t xml:space="preserve">070-930 82 76</t>
  </si>
  <si>
    <t xml:space="preserve">Tosterups Slott 1, 273 91 Tomelilla</t>
  </si>
  <si>
    <t xml:space="preserve">Travarbo Gårdsbutik &amp; Vilt</t>
  </si>
  <si>
    <t xml:space="preserve">Arboga-trakten</t>
  </si>
  <si>
    <t xml:space="preserve">Trollabo Kvarn</t>
  </si>
  <si>
    <t xml:space="preserve">Trädgård på spåret</t>
  </si>
  <si>
    <t xml:space="preserve">Trädgårds Paletten AB</t>
  </si>
  <si>
    <t xml:space="preserve">Trädgårdscafé</t>
  </si>
  <si>
    <t xml:space="preserve">Trädgårdscompaniet AB</t>
  </si>
  <si>
    <t xml:space="preserve">Tullinge musteri</t>
  </si>
  <si>
    <t xml:space="preserve">Botkyrka</t>
  </si>
  <si>
    <t xml:space="preserve">Tuna Kungsgård</t>
  </si>
  <si>
    <t xml:space="preserve">facebook.com/tunakungsgard</t>
  </si>
  <si>
    <t xml:space="preserve">vid Roxen</t>
  </si>
  <si>
    <t xml:space="preserve">Tunneberga Gästgifvargård AB</t>
  </si>
  <si>
    <t xml:space="preserve">12:00–14:00</t>
  </si>
  <si>
    <t xml:space="preserve">Tvetalund lantbruk</t>
  </si>
  <si>
    <t xml:space="preserve">Två Feta Grisar</t>
  </si>
  <si>
    <t xml:space="preserve">öl; kött</t>
  </si>
  <si>
    <t xml:space="preserve">Tångabo Gård</t>
  </si>
  <si>
    <t xml:space="preserve">Tångagård</t>
  </si>
  <si>
    <t xml:space="preserve">tangagard.se</t>
  </si>
  <si>
    <t xml:space="preserve">0730-44 25 51</t>
  </si>
  <si>
    <t xml:space="preserve">tangagard@tangagard.se</t>
  </si>
  <si>
    <t xml:space="preserve">mellan Falkenberg/Varberg</t>
  </si>
  <si>
    <t xml:space="preserve">Tängsta gård</t>
  </si>
  <si>
    <t xml:space="preserve">Töllås Fårgård</t>
  </si>
  <si>
    <t xml:space="preserve">Törnqvist Handelsträdgård</t>
  </si>
  <si>
    <t xml:space="preserve">Törst Ölpub - Craft Beer &amp; Food</t>
  </si>
  <si>
    <t xml:space="preserve">Ullarps gård | Sprättägg gårdsförsäljning</t>
  </si>
  <si>
    <t xml:space="preserve">Ulvagubben Självplock</t>
  </si>
  <si>
    <t xml:space="preserve">Ulvereds Hjorthägn</t>
  </si>
  <si>
    <t xml:space="preserve">Ungesmiss gårdsbutik</t>
  </si>
  <si>
    <t xml:space="preserve">0498-27 20 90</t>
  </si>
  <si>
    <t xml:space="preserve">Ungesmiss 120, 624 42 Tingstäde</t>
  </si>
  <si>
    <t xml:space="preserve">Uppegårdens Vilt - Kök &amp; Rum</t>
  </si>
  <si>
    <t xml:space="preserve">Vallby Sörgården Kulturreservat</t>
  </si>
  <si>
    <t xml:space="preserve">Varalövs Gårdsbutik</t>
  </si>
  <si>
    <t xml:space="preserve">Vareböke Bryggeri AB</t>
  </si>
  <si>
    <t xml:space="preserve">Varekils Slakteri</t>
  </si>
  <si>
    <t xml:space="preserve">Vasakull Gård</t>
  </si>
  <si>
    <t xml:space="preserve">Vega Bryggeri</t>
  </si>
  <si>
    <t xml:space="preserve">Vejby Vingård</t>
  </si>
  <si>
    <t xml:space="preserve">Vellinge Bryggeri</t>
  </si>
  <si>
    <t xml:space="preserve">Vera och Ruth Smakfulla delikatesser</t>
  </si>
  <si>
    <t xml:space="preserve">Vidablick - KRAV-odlade grönsaker</t>
  </si>
  <si>
    <t xml:space="preserve">vidablicks.se</t>
  </si>
  <si>
    <t xml:space="preserve">0415-102 02</t>
  </si>
  <si>
    <t xml:space="preserve">tomas@vidablicks.se</t>
  </si>
  <si>
    <t xml:space="preserve">Osbyholm 3104, 242 93 Hörby</t>
  </si>
  <si>
    <t xml:space="preserve">Vigelshus gårdsbutik</t>
  </si>
  <si>
    <t xml:space="preserve">Vikaryds Köttbod</t>
  </si>
  <si>
    <t xml:space="preserve">vikaryd.com</t>
  </si>
  <si>
    <t xml:space="preserve">0322-710 15</t>
  </si>
  <si>
    <t xml:space="preserve">info@vikaryd.com</t>
  </si>
  <si>
    <t xml:space="preserve">Vikarydsvägen 5, 441 91 Alingsås</t>
  </si>
  <si>
    <t xml:space="preserve">Villa Berglidens Äppelmusteri</t>
  </si>
  <si>
    <t xml:space="preserve">Vilshärads Gårdsbutik</t>
  </si>
  <si>
    <t xml:space="preserve">Vilshärad, Halmstad</t>
  </si>
  <si>
    <t xml:space="preserve">Viltverket @ Resta Gårdsbutik</t>
  </si>
  <si>
    <t xml:space="preserve">Vinbaren</t>
  </si>
  <si>
    <t xml:space="preserve">17:00–22:00</t>
  </si>
  <si>
    <t xml:space="preserve">Vingården i Klagshamn</t>
  </si>
  <si>
    <t xml:space="preserve">Vingården Stora Boråkra</t>
  </si>
  <si>
    <t xml:space="preserve">Vingården Två Liljor</t>
  </si>
  <si>
    <t xml:space="preserve">Vinland</t>
  </si>
  <si>
    <t xml:space="preserve">Visby Centrum</t>
  </si>
  <si>
    <t xml:space="preserve">Vischan Gårdsbutik</t>
  </si>
  <si>
    <t xml:space="preserve">Vistakulle Fruktodling</t>
  </si>
  <si>
    <t xml:space="preserve">Visätter Kalkongård</t>
  </si>
  <si>
    <t xml:space="preserve">VJ Vilt Nissaryd AB</t>
  </si>
  <si>
    <t xml:space="preserve">Hylte</t>
  </si>
  <si>
    <t xml:space="preserve">Volare Vinbar - Vin med mera</t>
  </si>
  <si>
    <t xml:space="preserve">Voxtorpsgården AB</t>
  </si>
  <si>
    <t xml:space="preserve">Vrankunge Trädgård</t>
  </si>
  <si>
    <t xml:space="preserve">Vreta kloster bryggeri</t>
  </si>
  <si>
    <t xml:space="preserve">Väddö Gårdsmejeri - Gårdsbutik &amp; Café</t>
  </si>
  <si>
    <t xml:space="preserve">vaddogardsmejeri.se</t>
  </si>
  <si>
    <t xml:space="preserve">0176-501 03</t>
  </si>
  <si>
    <t xml:space="preserve">info@vaddogardsmejeri.se</t>
  </si>
  <si>
    <t xml:space="preserve">Hammarbyvägen 34, 764 91 Väddö</t>
  </si>
  <si>
    <t xml:space="preserve">Vänga gårdsglass</t>
  </si>
  <si>
    <t xml:space="preserve">Vänga Kvarncafé &amp; Bageri, Surdegsbageri</t>
  </si>
  <si>
    <t xml:space="preserve">Värmdö Musteri AB</t>
  </si>
  <si>
    <t xml:space="preserve">Väsbylund Byggnadsvård Gårdsbutik</t>
  </si>
  <si>
    <t xml:space="preserve">Västanå Bryggeri</t>
  </si>
  <si>
    <t xml:space="preserve">Västergården</t>
  </si>
  <si>
    <t xml:space="preserve">Västernäs Handelsträdgård AB</t>
  </si>
  <si>
    <t xml:space="preserve">Västersläts Gårdsbutik</t>
  </si>
  <si>
    <t xml:space="preserve">Västkustägg i Halmstad AB</t>
  </si>
  <si>
    <t xml:space="preserve">Väversunda Bärodling AB</t>
  </si>
  <si>
    <t xml:space="preserve">Vävra Gårdsdeli</t>
  </si>
  <si>
    <t xml:space="preserve">Växtkraft Rosenhagen</t>
  </si>
  <si>
    <t xml:space="preserve">10:30–17:30</t>
  </si>
  <si>
    <t xml:space="preserve">Wannborga Bränneri &amp; Vingård</t>
  </si>
  <si>
    <t xml:space="preserve">Wapnö Gårdsbutik</t>
  </si>
  <si>
    <t xml:space="preserve">wapno.se</t>
  </si>
  <si>
    <t xml:space="preserve">035-299 03 61</t>
  </si>
  <si>
    <t xml:space="preserve">gardsbutik@wapno.se</t>
  </si>
  <si>
    <t xml:space="preserve">Wapnö Gård 215, 305 91 Halmstad</t>
  </si>
  <si>
    <t xml:space="preserve">Wappersta Gård Vagnhärad</t>
  </si>
  <si>
    <t xml:space="preserve">Warbro Kvarn AB</t>
  </si>
  <si>
    <t xml:space="preserve">warbrokvarn.se</t>
  </si>
  <si>
    <t xml:space="preserve">073-034 39 42 / 073-034 39 88</t>
  </si>
  <si>
    <t xml:space="preserve">butiken@warbrokvarn.se</t>
  </si>
  <si>
    <t xml:space="preserve">Linds Gård 1, 641 99 Sköldinge</t>
  </si>
  <si>
    <t xml:space="preserve">Wardins Gårdsprodukter</t>
  </si>
  <si>
    <t xml:space="preserve">Wessingekälla Brygghus</t>
  </si>
  <si>
    <t xml:space="preserve">Whiskyprovning Skåne vinprovning Malmö ölprovning Malmö romprovning Malmö</t>
  </si>
  <si>
    <t xml:space="preserve">Wiborgs Gårdsbutik / Kolsva Lantbruk</t>
  </si>
  <si>
    <t xml:space="preserve">Köpings</t>
  </si>
  <si>
    <t xml:space="preserve">Widegrens Gård</t>
  </si>
  <si>
    <t xml:space="preserve">06:00–15:00</t>
  </si>
  <si>
    <t xml:space="preserve">Widén Gården</t>
  </si>
  <si>
    <t xml:space="preserve">Wild@Eating Krog, gårdsbutik och Catering</t>
  </si>
  <si>
    <t xml:space="preserve">Wine Mechanics | Gamlestan</t>
  </si>
  <si>
    <t xml:space="preserve">11:30–22:00</t>
  </si>
  <si>
    <t xml:space="preserve">Wirbladhs Gårdshandel Smedby</t>
  </si>
  <si>
    <t xml:space="preserve">wirbladhs.se</t>
  </si>
  <si>
    <t xml:space="preserve">0480-47 12 43</t>
  </si>
  <si>
    <t xml:space="preserve">info@wirbladhs.se</t>
  </si>
  <si>
    <t xml:space="preserve">Ljungbyvägen 1, 394 70 Kalmar</t>
  </si>
  <si>
    <t xml:space="preserve">Wisby Ost AB</t>
  </si>
  <si>
    <t xml:space="preserve">wisbyost.se</t>
  </si>
  <si>
    <t xml:space="preserve">0498-27 72 75</t>
  </si>
  <si>
    <t xml:space="preserve">Wallérs Plats 4, 621 57 Visby</t>
  </si>
  <si>
    <t xml:space="preserve">Wolraths Bryggeri</t>
  </si>
  <si>
    <t xml:space="preserve">Wägga Fisk &amp; Delikatess</t>
  </si>
  <si>
    <t xml:space="preserve">Wästanå Gårdsslakteri</t>
  </si>
  <si>
    <t xml:space="preserve">Yxsjöns Humlegård</t>
  </si>
  <si>
    <t xml:space="preserve">Åbergs Handelsträdgård</t>
  </si>
  <si>
    <t xml:space="preserve">Åby Gård</t>
  </si>
  <si>
    <t xml:space="preserve">Ågesta Gårdscafe</t>
  </si>
  <si>
    <t xml:space="preserve">Åhus Bryggeri &amp; Restaurang Åhus</t>
  </si>
  <si>
    <t xml:space="preserve">16:30–21:30</t>
  </si>
  <si>
    <t xml:space="preserve">Åhus Vingård</t>
  </si>
  <si>
    <t xml:space="preserve">ahusvingard.se</t>
  </si>
  <si>
    <t xml:space="preserve">0733-95 87 31</t>
  </si>
  <si>
    <t xml:space="preserve">info@ahusvingard.se</t>
  </si>
  <si>
    <t xml:space="preserve">Yngsjövägen 226, 296 91 Åhus</t>
  </si>
  <si>
    <t xml:space="preserve">Åkerby Kimstad AB (Åkerby ägg)</t>
  </si>
  <si>
    <t xml:space="preserve">08:00–17:30</t>
  </si>
  <si>
    <t xml:space="preserve">Åminne honung och jästeri</t>
  </si>
  <si>
    <t xml:space="preserve">Ånstänga Lantbruk &amp; Handelsträdgård</t>
  </si>
  <si>
    <t xml:space="preserve">Åsalid Bryggeri</t>
  </si>
  <si>
    <t xml:space="preserve">Åsbergets Gårdsmejeri</t>
  </si>
  <si>
    <t xml:space="preserve">Åsby Hem &amp; Trädgård</t>
  </si>
  <si>
    <t xml:space="preserve">Åsgårds Gårdsbutik</t>
  </si>
  <si>
    <t xml:space="preserve">Åskebro Gård Butik&amp;Café</t>
  </si>
  <si>
    <t xml:space="preserve">Äggaboden</t>
  </si>
  <si>
    <t xml:space="preserve">aggaboden.se</t>
  </si>
  <si>
    <t xml:space="preserve">0457-361 42</t>
  </si>
  <si>
    <t xml:space="preserve">info@aggaboden.se</t>
  </si>
  <si>
    <t xml:space="preserve">Gärestads bygata 16, 372 97 Ronneby</t>
  </si>
  <si>
    <t xml:space="preserve">Änga Gård</t>
  </si>
  <si>
    <t xml:space="preserve">Heby</t>
  </si>
  <si>
    <t xml:space="preserve">Ängavallens Gårdsbutik</t>
  </si>
  <si>
    <t xml:space="preserve">Ängens gård</t>
  </si>
  <si>
    <t xml:space="preserve">Änghagen Gård</t>
  </si>
  <si>
    <t xml:space="preserve">Ängsbackens Handelsträdgård</t>
  </si>
  <si>
    <t xml:space="preserve">Ängsgläntans Gårdsbutik</t>
  </si>
  <si>
    <t xml:space="preserve">Ängsholmens Gårdsmejeri</t>
  </si>
  <si>
    <t xml:space="preserve">Ängöl AB</t>
  </si>
  <si>
    <t xml:space="preserve">Äppelblommans Musteri</t>
  </si>
  <si>
    <t xml:space="preserve">08:00–14:00</t>
  </si>
  <si>
    <t xml:space="preserve">Äppelboden Musteri</t>
  </si>
  <si>
    <t xml:space="preserve">appelboden.se</t>
  </si>
  <si>
    <t xml:space="preserve">0733-46 63 46 / 0709-84 41 72</t>
  </si>
  <si>
    <t xml:space="preserve">info@appelboden.se</t>
  </si>
  <si>
    <t xml:space="preserve">Gustavstorpsvägen 234, 375 91 Mörrum</t>
  </si>
  <si>
    <t xml:space="preserve">Äppledalen Kaxholmen</t>
  </si>
  <si>
    <t xml:space="preserve">Äspinge kött</t>
  </si>
  <si>
    <t xml:space="preserve">Ästad Vingård</t>
  </si>
  <si>
    <t xml:space="preserve">astadvingard.se</t>
  </si>
  <si>
    <t xml:space="preserve">0340-460 06</t>
  </si>
  <si>
    <t xml:space="preserve">info@astadvingard.se</t>
  </si>
  <si>
    <t xml:space="preserve">Ästad 10, Varberg</t>
  </si>
  <si>
    <t xml:space="preserve">Öija gårdsbutik</t>
  </si>
  <si>
    <t xml:space="preserve">Öja Gård</t>
  </si>
  <si>
    <t xml:space="preserve">Ölands Kvalitetsprodukter, Mysinge Kött</t>
  </si>
  <si>
    <t xml:space="preserve">Ölands köksmejeri</t>
  </si>
  <si>
    <t xml:space="preserve">Mörbylånga</t>
  </si>
  <si>
    <t xml:space="preserve">11:00–13:00</t>
  </si>
  <si>
    <t xml:space="preserve">olandskoksmejeri.se</t>
  </si>
  <si>
    <t xml:space="preserve">0709-54 20 33</t>
  </si>
  <si>
    <t xml:space="preserve">christer@havsvik.se</t>
  </si>
  <si>
    <t xml:space="preserve">Alby 121, 386 62 Mörbylånga</t>
  </si>
  <si>
    <t xml:space="preserve">Ölkemi Bryggeri</t>
  </si>
  <si>
    <t xml:space="preserve">15:30–23:00</t>
  </si>
  <si>
    <t xml:space="preserve">Ölkompaniet</t>
  </si>
  <si>
    <t xml:space="preserve">Öredals gårdsbutik</t>
  </si>
  <si>
    <t xml:space="preserve">Örlycke Gårdsbutik</t>
  </si>
  <si>
    <t xml:space="preserve">orlyckegardsbutik.se</t>
  </si>
  <si>
    <t xml:space="preserve">0707-586803 / 0705-437266</t>
  </si>
  <si>
    <t xml:space="preserve">kontakt@orlyckegardsbutik.se</t>
  </si>
  <si>
    <t xml:space="preserve">Örlyckevägen 130-4, Sölvesborg</t>
  </si>
  <si>
    <t xml:space="preserve">Örnahusens Gårdsbutik</t>
  </si>
  <si>
    <t xml:space="preserve">Österby Gårdsbutik</t>
  </si>
  <si>
    <t xml:space="preserve">Sigtuna</t>
  </si>
  <si>
    <t xml:space="preserve">Östergårds grönsaker</t>
  </si>
  <si>
    <t xml:space="preserve">Österlenbryggarna Anno 1953 - Butik</t>
  </si>
  <si>
    <t xml:space="preserve">Österlens Kött &amp; Vilt Brösarp</t>
  </si>
  <si>
    <t xml:space="preserve">Österlens Vingårdspark Tygeå</t>
  </si>
  <si>
    <t xml:space="preserve">Östängs Gård</t>
  </si>
  <si>
    <t xml:space="preserve">Överstekvarn Chili Gotland</t>
  </si>
  <si>
    <t xml:space="preserve">Adress</t>
  </si>
  <si>
    <t xml:space="preserve">Anmärkning</t>
  </si>
  <si>
    <t xml:space="preserve">Skafferi-kategori (matchad)</t>
  </si>
  <si>
    <t xml:space="preserve">Hammenhög</t>
  </si>
  <si>
    <t xml:space="preserve">Gårdens webbplats; hitta.se</t>
  </si>
  <si>
    <t xml:space="preserve">Kivik</t>
  </si>
  <si>
    <t xml:space="preserve">Gårdens webbplats</t>
  </si>
  <si>
    <t xml:space="preserve">Ängavallens Gård/Gårdsbutik</t>
  </si>
  <si>
    <t xml:space="preserve">Gårdens webbplats; Facebook</t>
  </si>
  <si>
    <t xml:space="preserve">Bolagsfakta; gårdens webbplats</t>
  </si>
  <si>
    <t xml:space="preserve">Gårdens webbplats; proff.se</t>
  </si>
  <si>
    <t xml:space="preserve">Brunneby Musteri</t>
  </si>
  <si>
    <t xml:space="preserve">Borensberg</t>
  </si>
  <si>
    <t xml:space="preserve">Gammalkil, Linköping</t>
  </si>
  <si>
    <t xml:space="preserve">gardsbutiker.se; visitlinkoping.se</t>
  </si>
  <si>
    <t xml:space="preserve">Hälleforsnäs, Flen</t>
  </si>
  <si>
    <t xml:space="preserve">visitflen.se</t>
  </si>
  <si>
    <t xml:space="preserve">Sköldinge, Katrineholm</t>
  </si>
  <si>
    <t xml:space="preserve">Gårdens webbplats; allabolag</t>
  </si>
  <si>
    <t xml:space="preserve">Gröna Hagars Kött</t>
  </si>
  <si>
    <t xml:space="preserve">Salbohed/Krylbo, Sala</t>
  </si>
  <si>
    <t xml:space="preserve">klimatsmart.se; smakapavastmanland.se</t>
  </si>
  <si>
    <t xml:space="preserve">Kontakt via formulär</t>
  </si>
  <si>
    <t xml:space="preserve">allabolag; gårdens webbplats</t>
  </si>
  <si>
    <t xml:space="preserve">Gårdens webbplats; roslagen.se</t>
  </si>
  <si>
    <t xml:space="preserve">LÄNSKORRIGERING - gardsguiden angav Uppsala</t>
  </si>
  <si>
    <t xml:space="preserve">Väddö Gårdsmejeri</t>
  </si>
  <si>
    <t xml:space="preserve">Väddö, Norrtälje</t>
  </si>
  <si>
    <t xml:space="preserve">roslagen.se; allabolag</t>
  </si>
  <si>
    <t xml:space="preserve">Alsike Trädgård</t>
  </si>
  <si>
    <t xml:space="preserve">Bergqvara Gård</t>
  </si>
  <si>
    <t xml:space="preserve">Gårdsguiden; gårdens webbplats</t>
  </si>
  <si>
    <t xml:space="preserve">Urshult</t>
  </si>
  <si>
    <t xml:space="preserve">allbiz; MAT-rundan</t>
  </si>
  <si>
    <t xml:space="preserve">Motstridiga telefonnummer/postnr - verifiera</t>
  </si>
  <si>
    <t xml:space="preserve">Hamneda, Ljungby</t>
  </si>
  <si>
    <t xml:space="preserve">allabolag; naturkartan; MAT-rundan</t>
  </si>
  <si>
    <t xml:space="preserve">Huskvarna</t>
  </si>
  <si>
    <t xml:space="preserve">naturkartan; allabolag</t>
  </si>
  <si>
    <t xml:space="preserve">Alva</t>
  </si>
  <si>
    <t xml:space="preserve">gotland.com</t>
  </si>
  <si>
    <t xml:space="preserve">Stafva Gårdsbutik (Sjaustrukocken)</t>
  </si>
  <si>
    <t xml:space="preserve">Barlingbo</t>
  </si>
  <si>
    <t xml:space="preserve">gotland.com; Yelp; subagent</t>
  </si>
  <si>
    <t xml:space="preserve">Motstridiga tel/postnr - verifiera</t>
  </si>
  <si>
    <t xml:space="preserve">Ölands Köksmejeri</t>
  </si>
  <si>
    <t xml:space="preserve">Mörbylånga, Öland</t>
  </si>
  <si>
    <t xml:space="preserve">Gårdens webbplats; visitoland.com; kollamaten</t>
  </si>
  <si>
    <t xml:space="preserve">Wirbladhs Gårdshandel</t>
  </si>
  <si>
    <t xml:space="preserve">Smedby, Kalmar</t>
  </si>
  <si>
    <t xml:space="preserve">Vassmolösa</t>
  </si>
  <si>
    <t xml:space="preserve">krav.se; gårdens webbplats</t>
  </si>
  <si>
    <t xml:space="preserve">Jämjö</t>
  </si>
  <si>
    <t xml:space="preserve">gardsbutiker.se; gårdens webbplats</t>
  </si>
  <si>
    <t xml:space="preserve">Ljung, Herrljunga</t>
  </si>
  <si>
    <t xml:space="preserve">gasenemejeri.se; hitta.se</t>
  </si>
  <si>
    <t xml:space="preserve">Bohus, Ale</t>
  </si>
  <si>
    <t xml:space="preserve">hitta.se; wheree.com</t>
  </si>
  <si>
    <t xml:space="preserve">Ev. charkbutik ej primärproducent - verifiera</t>
  </si>
  <si>
    <t xml:space="preserve">betyg.se; cylex.se</t>
  </si>
  <si>
    <t xml:space="preserve">Ej primärproducent - exkludera</t>
  </si>
  <si>
    <t xml:space="preserve">Sollebrunn, Magra</t>
  </si>
  <si>
    <t xml:space="preserve">vastsverige.com; lantost.com</t>
  </si>
  <si>
    <t xml:space="preserve">Borgstena, Borås</t>
  </si>
  <si>
    <t xml:space="preserve">krakarpsmejeri.se; lokalproducerativast.se</t>
  </si>
  <si>
    <t xml:space="preserve">Vallda</t>
  </si>
  <si>
    <t xml:space="preserve">naturgarden.se; allabolag</t>
  </si>
  <si>
    <t xml:space="preserve">Ligger i Halland - gränsfall</t>
  </si>
  <si>
    <t xml:space="preserve">Slakthusets Köttbod</t>
  </si>
  <si>
    <t xml:space="preserve">Göteborg, Olskroken</t>
  </si>
  <si>
    <t xml:space="preserve">slakthusetskottbod.se; bolagsfakta</t>
  </si>
  <si>
    <t xml:space="preserve">Köper in kött - gränsfall</t>
  </si>
  <si>
    <t xml:space="preserve">vikaryd.com; lokalproducerativast.se</t>
  </si>
  <si>
    <t xml:space="preserve">Ehrenhofers Lamm &amp; Vilt</t>
  </si>
  <si>
    <t xml:space="preserve">Lödöse</t>
  </si>
  <si>
    <t xml:space="preserve">ehrenhofers.se</t>
  </si>
  <si>
    <t xml:space="preserve">0520-657 67</t>
  </si>
  <si>
    <t xml:space="preserve">Högås 274, 463 71 Lödöse</t>
  </si>
  <si>
    <t xml:space="preserve">ehrenhofers.se; lokalproducerativast.se</t>
  </si>
  <si>
    <t xml:space="preserve">Sommarhagens Gårdsmejeri</t>
  </si>
  <si>
    <t xml:space="preserve">Nol, Ale</t>
  </si>
  <si>
    <t xml:space="preserve">sommarhagensgardsmejeri.se</t>
  </si>
  <si>
    <t xml:space="preserve">076-231 30 72</t>
  </si>
  <si>
    <t xml:space="preserve">info@sommarhagensost.se</t>
  </si>
  <si>
    <t xml:space="preserve">Damma 420, 449 90 Nol</t>
  </si>
  <si>
    <t xml:space="preserve">egen webbplats</t>
  </si>
  <si>
    <t xml:space="preserve">Skålldals lilla Ekomejeri</t>
  </si>
  <si>
    <t xml:space="preserve">Kode</t>
  </si>
  <si>
    <t xml:space="preserve">egen webb; vastsverige.com</t>
  </si>
  <si>
    <t xml:space="preserve">Lexby Gård</t>
  </si>
  <si>
    <t xml:space="preserve">Partille</t>
  </si>
  <si>
    <t xml:space="preserve">lexbygard.se</t>
  </si>
  <si>
    <t xml:space="preserve">070-544 66 97</t>
  </si>
  <si>
    <t xml:space="preserve">Gamla Lexbyvägen 9, 433 31 Partille</t>
  </si>
  <si>
    <t xml:space="preserve">lexbygard.se; hitta.se</t>
  </si>
  <si>
    <t xml:space="preserve">Osäkert om aktiv gårdsbutik</t>
  </si>
  <si>
    <t xml:space="preserve">Limmared</t>
  </si>
  <si>
    <t xml:space="preserve">Bramleys Äppelodling</t>
  </si>
  <si>
    <t xml:space="preserve">Lidköping, Kålland</t>
  </si>
  <si>
    <t xml:space="preserve">bramleys.se</t>
  </si>
  <si>
    <t xml:space="preserve">070-225 87 07</t>
  </si>
  <si>
    <t xml:space="preserve">brampip@gmail.com</t>
  </si>
  <si>
    <t xml:space="preserve">Öboängen Bösshamn 7, 531 99 Lidköping</t>
  </si>
  <si>
    <t xml:space="preserve">lokalproducerativast.se; allabolag</t>
  </si>
  <si>
    <t xml:space="preserve">Webbplats tom - verifiera</t>
  </si>
  <si>
    <t xml:space="preserve">Hoffrekullens Handelsträdgård</t>
  </si>
  <si>
    <t xml:space="preserve">Romelanda, Kungälv</t>
  </si>
  <si>
    <t xml:space="preserve">hoffrekullen.se</t>
  </si>
  <si>
    <t xml:space="preserve">070-522 49 60</t>
  </si>
  <si>
    <t xml:space="preserve">Håffrekullen 210, 442 91 Romelanda</t>
  </si>
  <si>
    <t xml:space="preserve">hoffrekullen.se; allabolag</t>
  </si>
  <si>
    <t xml:space="preserve">Mariebergs Gårdsbutik AB</t>
  </si>
  <si>
    <t xml:space="preserve">Kungälv</t>
  </si>
  <si>
    <t xml:space="preserve">mariebergsgardsbutik.se</t>
  </si>
  <si>
    <t xml:space="preserve">0303-36 60 00</t>
  </si>
  <si>
    <t xml:space="preserve">order@mariebergsgardsbutik.se</t>
  </si>
  <si>
    <t xml:space="preserve">Marieberg 270, 442 49 Kungälv</t>
  </si>
  <si>
    <t xml:space="preserve">mariebergsgardsbutik.se; allabolag</t>
  </si>
  <si>
    <t xml:space="preserve">Två adresser gård/butik - verifiera</t>
  </si>
  <si>
    <t xml:space="preserve">Gödebergs Gård</t>
  </si>
  <si>
    <t xml:space="preserve">Lindome, Mölndal</t>
  </si>
  <si>
    <t xml:space="preserve">godebergsgardsbutik.se; goteborg.com</t>
  </si>
  <si>
    <t xml:space="preserve">Stora Tumlehed Gård AB</t>
  </si>
  <si>
    <t xml:space="preserve">Torslanda, Göteborg</t>
  </si>
  <si>
    <t xml:space="preserve">storatumlehedgard.se</t>
  </si>
  <si>
    <t xml:space="preserve">070-228 71 47</t>
  </si>
  <si>
    <t xml:space="preserve">hej@storatumlehedgard.se</t>
  </si>
  <si>
    <t xml:space="preserve">Tumlehedsvägen 180, 423 43 Torslanda</t>
  </si>
  <si>
    <t xml:space="preserve">storatumlehedgard.se; lokalproducerativast.se</t>
  </si>
  <si>
    <t xml:space="preserve">Kvänum, Vara</t>
  </si>
  <si>
    <t xml:space="preserve">qmm.se; allabolag</t>
  </si>
  <si>
    <t xml:space="preserve">Adelsåsens Kalkon</t>
  </si>
  <si>
    <t xml:space="preserve">Stora Levene, Vara</t>
  </si>
  <si>
    <t xml:space="preserve">adelsasen.se</t>
  </si>
  <si>
    <t xml:space="preserve">0512-601 14</t>
  </si>
  <si>
    <t xml:space="preserve">malin.andersson@adelsasen.se</t>
  </si>
  <si>
    <t xml:space="preserve">Levene Adelsåsen 1, 534 93 Stora Levene</t>
  </si>
  <si>
    <t xml:space="preserve">adelsasen.se; proff.se</t>
  </si>
  <si>
    <t xml:space="preserve">Torp Farm</t>
  </si>
  <si>
    <t xml:space="preserve">Henån, Orust</t>
  </si>
  <si>
    <t xml:space="preserve">torpfarm.se</t>
  </si>
  <si>
    <t xml:space="preserve">070-243 78 74</t>
  </si>
  <si>
    <t xml:space="preserve">torp.farm@telia.com</t>
  </si>
  <si>
    <t xml:space="preserve">Torp 715, 473 93 Henån</t>
  </si>
  <si>
    <t xml:space="preserve">torpfarm.se; lokalproducerativast.se</t>
  </si>
  <si>
    <t xml:space="preserve">Johanssons Lamm &amp; Ull</t>
  </si>
  <si>
    <t xml:space="preserve">Gökhem, Falköping</t>
  </si>
  <si>
    <t xml:space="preserve">lamm-ull.com</t>
  </si>
  <si>
    <t xml:space="preserve">073-987 90 04</t>
  </si>
  <si>
    <t xml:space="preserve">johanssonslamm.ull@gmail.com</t>
  </si>
  <si>
    <t xml:space="preserve">Gökhem Anguntorp 11, 521 92 Falköping</t>
  </si>
  <si>
    <t xml:space="preserve">lamm-ull.com; gardsnara.se</t>
  </si>
  <si>
    <t xml:space="preserve">Kiviks Trädgård</t>
  </si>
  <si>
    <t xml:space="preserve">Åhus, Yngsjö</t>
  </si>
  <si>
    <t xml:space="preserve">ahusvingard.se; magasinetskane.se</t>
  </si>
  <si>
    <t xml:space="preserve">Tosterups Gård</t>
  </si>
  <si>
    <t xml:space="preserve">tosterup.se; hitta.se</t>
  </si>
  <si>
    <t xml:space="preserve">snarestadvin.se; vinsverige.se</t>
  </si>
  <si>
    <t xml:space="preserve">Löddeköpinge, Kävlinge</t>
  </si>
  <si>
    <t xml:space="preserve">mollegardens.com; bolagsfakta.se</t>
  </si>
  <si>
    <t xml:space="preserve">Trelleborg, Bodarp</t>
  </si>
  <si>
    <t xml:space="preserve">hallongarden.se; gardsbutiker.se</t>
  </si>
  <si>
    <t xml:space="preserve">Vidablick</t>
  </si>
  <si>
    <t xml:space="preserve">vidablicks.se; naturkartan.se</t>
  </si>
  <si>
    <t xml:space="preserve">Törnqvists Handelsträdgård</t>
  </si>
  <si>
    <t xml:space="preserve">Vinslöv</t>
  </si>
  <si>
    <t xml:space="preserve">tornblomman.se</t>
  </si>
  <si>
    <t xml:space="preserve">044-851 51</t>
  </si>
  <si>
    <t xml:space="preserve">Vanneberga 3232, 288 90 Vinslöv</t>
  </si>
  <si>
    <t xml:space="preserve">tornblomman.se; hitta.se</t>
  </si>
  <si>
    <t xml:space="preserve">gardsbutiker-skane.se</t>
  </si>
  <si>
    <t xml:space="preserve">Bränneriets Gård</t>
  </si>
  <si>
    <t xml:space="preserve">brannerietsgard.se</t>
  </si>
  <si>
    <t xml:space="preserve">070-926 04 63</t>
  </si>
  <si>
    <t xml:space="preserve">info@brannerietsgard.se</t>
  </si>
  <si>
    <t xml:space="preserve">Ågård Nöbbelöv, 241 93 Eslöv</t>
  </si>
  <si>
    <t xml:space="preserve">Näsum</t>
  </si>
  <si>
    <t xml:space="preserve">Böste Grönsaker</t>
  </si>
  <si>
    <t xml:space="preserve">Trelleborg, V. Torp</t>
  </si>
  <si>
    <t xml:space="preserve">bostegronsaker.se</t>
  </si>
  <si>
    <t xml:space="preserve">0410-230 09</t>
  </si>
  <si>
    <t xml:space="preserve">boste.gronsaker@telia.com</t>
  </si>
  <si>
    <t xml:space="preserve">Västra Torp 590, 231 92 Trelleborg</t>
  </si>
  <si>
    <t xml:space="preserve">Börringekloster</t>
  </si>
  <si>
    <t xml:space="preserve">Svedala</t>
  </si>
  <si>
    <t xml:space="preserve">borringekloster.se</t>
  </si>
  <si>
    <t xml:space="preserve">040-48 32 01</t>
  </si>
  <si>
    <t xml:space="preserve">info@borringekloster.se</t>
  </si>
  <si>
    <t xml:space="preserve">Börringe stationsväg 10, 233 91 Svedala</t>
  </si>
  <si>
    <t xml:space="preserve">Denningarums Gård</t>
  </si>
  <si>
    <t xml:space="preserve">Broby, Östanå</t>
  </si>
  <si>
    <t xml:space="preserve">denningarumsgard.nu</t>
  </si>
  <si>
    <t xml:space="preserve">044-440 08</t>
  </si>
  <si>
    <t xml:space="preserve">info@denningarumsgard.nu</t>
  </si>
  <si>
    <t xml:space="preserve">Östanå, 280 60 Broby</t>
  </si>
  <si>
    <t xml:space="preserve">Ekhems Gård</t>
  </si>
  <si>
    <t xml:space="preserve">Förslöv</t>
  </si>
  <si>
    <t xml:space="preserve">ekhemsgard.nu</t>
  </si>
  <si>
    <t xml:space="preserve">0431-45 11 10</t>
  </si>
  <si>
    <t xml:space="preserve">info@ekhemsgard.nu</t>
  </si>
  <si>
    <t xml:space="preserve">Hålevägen 45, 260 91 Förslöv</t>
  </si>
  <si>
    <t xml:space="preserve">Ebbessons Gårdsmejeri &amp; Butik</t>
  </si>
  <si>
    <t xml:space="preserve">Eriksgården</t>
  </si>
  <si>
    <t xml:space="preserve">Rathckegården</t>
  </si>
  <si>
    <t xml:space="preserve">Åhus</t>
  </si>
  <si>
    <t xml:space="preserve">rathckegarden.se</t>
  </si>
  <si>
    <t xml:space="preserve">070-574 74 97</t>
  </si>
  <si>
    <t xml:space="preserve">info@rathckegarden.se</t>
  </si>
  <si>
    <t xml:space="preserve">Yngsjövägen 264, 296 91 Åhus</t>
  </si>
  <si>
    <t xml:space="preserve">Nedanbäcks Gårdsbutik</t>
  </si>
  <si>
    <t xml:space="preserve">Glimåkra</t>
  </si>
  <si>
    <t xml:space="preserve">nedanback.se</t>
  </si>
  <si>
    <t xml:space="preserve">044-424 77</t>
  </si>
  <si>
    <t xml:space="preserve">info@nedanback.se</t>
  </si>
  <si>
    <t xml:space="preserve">Nedanbäck, 280 64 Glimåkra</t>
  </si>
  <si>
    <t xml:space="preserve">Grevingetorps Lamm</t>
  </si>
  <si>
    <t xml:space="preserve">Rydsgård</t>
  </si>
  <si>
    <t xml:space="preserve">grevingetorpslamm.se</t>
  </si>
  <si>
    <t xml:space="preserve">073-577 86 88</t>
  </si>
  <si>
    <t xml:space="preserve">helen@grevingetorpslamm.se</t>
  </si>
  <si>
    <t xml:space="preserve">Grevingetorp 19, 274 62 Rydsgård</t>
  </si>
  <si>
    <t xml:space="preserve">Visseltofta</t>
  </si>
  <si>
    <t xml:space="preserve">Appeltorps Lamm &amp; Vilt</t>
  </si>
  <si>
    <t xml:space="preserve">appeltorp.se</t>
  </si>
  <si>
    <t xml:space="preserve">0417-313 02</t>
  </si>
  <si>
    <t xml:space="preserve">info@appeltorp.se</t>
  </si>
  <si>
    <t xml:space="preserve">Appeltorp 5:19, 273 93 Tomelilla</t>
  </si>
  <si>
    <t xml:space="preserve">Bonnarps Hjortgård</t>
  </si>
  <si>
    <t xml:space="preserve">Ljungbyhed</t>
  </si>
  <si>
    <t xml:space="preserve">Ekastiga Gårdsbutik</t>
  </si>
  <si>
    <t xml:space="preserve">ekastiga.com</t>
  </si>
  <si>
    <t xml:space="preserve">0413-211 15</t>
  </si>
  <si>
    <t xml:space="preserve">lamm@ekastiga.com</t>
  </si>
  <si>
    <t xml:space="preserve">Ekastiga 333, 243 93 Höör</t>
  </si>
  <si>
    <t xml:space="preserve">Kulla Lamm</t>
  </si>
  <si>
    <t xml:space="preserve">Jonstorp</t>
  </si>
  <si>
    <t xml:space="preserve">kullalamm.se</t>
  </si>
  <si>
    <t xml:space="preserve">073-389 51 42</t>
  </si>
  <si>
    <t xml:space="preserve">info@kullalamm.se</t>
  </si>
  <si>
    <t xml:space="preserve">Gamla Södåkravägen 394-18, 263 92 Jonstorp</t>
  </si>
  <si>
    <t xml:space="preserve">Källagården</t>
  </si>
  <si>
    <t xml:space="preserve">Brösarp</t>
  </si>
  <si>
    <t xml:space="preserve">kallagarden.com</t>
  </si>
  <si>
    <t xml:space="preserve">0414-734 77</t>
  </si>
  <si>
    <t xml:space="preserve">info@kallagarden.com</t>
  </si>
  <si>
    <t xml:space="preserve">273 50 Brösarp</t>
  </si>
  <si>
    <t xml:space="preserve">Lammet &amp; Herden (Gärsnäs Gård)</t>
  </si>
  <si>
    <t xml:space="preserve">Gärsnäs</t>
  </si>
  <si>
    <t xml:space="preserve">garsnasgard.se</t>
  </si>
  <si>
    <t xml:space="preserve">0414-502 60</t>
  </si>
  <si>
    <t xml:space="preserve">info@garsnasgard.se</t>
  </si>
  <si>
    <t xml:space="preserve">Gärsnäs Gård, 272 96 Gärsnäs</t>
  </si>
  <si>
    <t xml:space="preserve">Lindhagens Bigårdar</t>
  </si>
  <si>
    <t xml:space="preserve">Anderslöv</t>
  </si>
  <si>
    <t xml:space="preserve">lindhagen.se</t>
  </si>
  <si>
    <t xml:space="preserve">0410-280 95</t>
  </si>
  <si>
    <t xml:space="preserve">info@lindhagen.se</t>
  </si>
  <si>
    <t xml:space="preserve">Grönbyvägen 343-19, 231 72 Anderslöv</t>
  </si>
  <si>
    <t xml:space="preserve">Hvens Getost</t>
  </si>
  <si>
    <t xml:space="preserve">Sankt Ibb, Ven</t>
  </si>
  <si>
    <t xml:space="preserve">hvensgetost.com</t>
  </si>
  <si>
    <t xml:space="preserve">0418-72 173</t>
  </si>
  <si>
    <t xml:space="preserve">ninna@brevet.nu</t>
  </si>
  <si>
    <t xml:space="preserve">Landsvägen 61, 260 13 Sankt Ibb</t>
  </si>
  <si>
    <t xml:space="preserve">FoodArt på GoA Gård</t>
  </si>
  <si>
    <t xml:space="preserve">Hasslarp</t>
  </si>
  <si>
    <t xml:space="preserve">foodart.info</t>
  </si>
  <si>
    <t xml:space="preserve">076-871 73 91</t>
  </si>
  <si>
    <t xml:space="preserve">goagard@foodart.info</t>
  </si>
  <si>
    <t xml:space="preserve">Hyllingevägen 197, 260 39 Hasslarp</t>
  </si>
  <si>
    <t xml:space="preserve">Höjebromölla Bärodling</t>
  </si>
  <si>
    <t xml:space="preserve">hojebromolla.se</t>
  </si>
  <si>
    <t xml:space="preserve">046-780 02 12</t>
  </si>
  <si>
    <t xml:space="preserve">marten@hojebromolla.se</t>
  </si>
  <si>
    <t xml:space="preserve">Höjebromölla, 245 93 Staffanstorp</t>
  </si>
  <si>
    <t xml:space="preserve">Bjärreds Jordgubbar</t>
  </si>
  <si>
    <t xml:space="preserve">Lomma</t>
  </si>
  <si>
    <t xml:space="preserve">bjarredsjordgubbar.se</t>
  </si>
  <si>
    <t xml:space="preserve">070-223 46 53</t>
  </si>
  <si>
    <t xml:space="preserve">anders@kvistalanga.se</t>
  </si>
  <si>
    <t xml:space="preserve">Markvägen 2, 237 91 Lomma</t>
  </si>
  <si>
    <t xml:space="preserve">Gessie Potatis Gårdsbutik</t>
  </si>
  <si>
    <t xml:space="preserve">Brogårdens Gårdsförsäljning</t>
  </si>
  <si>
    <t xml:space="preserve">044-22 81 07</t>
  </si>
  <si>
    <t xml:space="preserve">brogarden@lantbruk.se</t>
  </si>
  <si>
    <t xml:space="preserve">Byholmsvägen 134, 291 51 Kristianstad</t>
  </si>
  <si>
    <t xml:space="preserve">Bonnslätt 1:56</t>
  </si>
  <si>
    <t xml:space="preserve">Villands Vånga</t>
  </si>
  <si>
    <t xml:space="preserve">bonnslatt.se</t>
  </si>
  <si>
    <t xml:space="preserve">070-603 75 80</t>
  </si>
  <si>
    <t xml:space="preserve">info@bonnslatt.se</t>
  </si>
  <si>
    <t xml:space="preserve">Näsumsvägen 44, 290 38 Villands Vånga</t>
  </si>
  <si>
    <t xml:space="preserve">Calles Frukt och Grönt</t>
  </si>
  <si>
    <t xml:space="preserve">callesfruktogront.se</t>
  </si>
  <si>
    <t xml:space="preserve">073-022 80 52</t>
  </si>
  <si>
    <t xml:space="preserve">callesfruktogront@hotmail.com</t>
  </si>
  <si>
    <t xml:space="preserve">Ramsåsa 1724, 273 97 Tomelilla</t>
  </si>
  <si>
    <t xml:space="preserve">Nylanders Rött &amp; Grönt</t>
  </si>
  <si>
    <t xml:space="preserve">Rydebäck</t>
  </si>
  <si>
    <t xml:space="preserve">gardsbutiken.se</t>
  </si>
  <si>
    <t xml:space="preserve">070-622 11 39</t>
  </si>
  <si>
    <t xml:space="preserve">info@gardsbutiken.se</t>
  </si>
  <si>
    <t xml:space="preserve">Nytorpsvägen 90, 257 30 Rydebäck</t>
  </si>
  <si>
    <t xml:space="preserve">Kvidinge</t>
  </si>
  <si>
    <t xml:space="preserve">Simrishamn, Rörum</t>
  </si>
  <si>
    <t xml:space="preserve">Vibypotatis AB</t>
  </si>
  <si>
    <t xml:space="preserve">vibypotatis.se</t>
  </si>
  <si>
    <t xml:space="preserve">044-22 80 09</t>
  </si>
  <si>
    <t xml:space="preserve">Viby kyrkväg 22, 291 51 Kristianstad</t>
  </si>
  <si>
    <t xml:space="preserve">Vikbolandsstruts</t>
  </si>
  <si>
    <t xml:space="preserve">Vikbolandet, Häradshammar</t>
  </si>
  <si>
    <t xml:space="preserve">vikbolandsstruts.se</t>
  </si>
  <si>
    <t xml:space="preserve">0125-100 29 / 070-740 11 53</t>
  </si>
  <si>
    <t xml:space="preserve">info@vikbolandsstruts.se</t>
  </si>
  <si>
    <t xml:space="preserve">Vånga 2, 610 29 Vikbolandet</t>
  </si>
  <si>
    <t xml:space="preserve">egen webb; ratsit</t>
  </si>
  <si>
    <t xml:space="preserve">Fröö Gård (Fröö Naturbeteskött)</t>
  </si>
  <si>
    <t xml:space="preserve">Norsholm</t>
  </si>
  <si>
    <t xml:space="preserve">0730-22 32 27</t>
  </si>
  <si>
    <t xml:space="preserve">kristina@froogard.se</t>
  </si>
  <si>
    <t xml:space="preserve">Fröö Gård, 610 21 Norsholm</t>
  </si>
  <si>
    <t xml:space="preserve">egen webb</t>
  </si>
  <si>
    <t xml:space="preserve">Fågelsta/Varv, Motala</t>
  </si>
  <si>
    <t xml:space="preserve">Grensholms Gårdsbutik</t>
  </si>
  <si>
    <t xml:space="preserve">Skärblacka</t>
  </si>
  <si>
    <t xml:space="preserve">facebook.com/grensholm</t>
  </si>
  <si>
    <t xml:space="preserve">Grensholm</t>
  </si>
  <si>
    <t xml:space="preserve">gardsbutiker.se</t>
  </si>
  <si>
    <t xml:space="preserve">Obemannad</t>
  </si>
  <si>
    <t xml:space="preserve">tadigut.nu</t>
  </si>
  <si>
    <t xml:space="preserve">Stafsäter, Linköping</t>
  </si>
  <si>
    <t xml:space="preserve">Stora Björksved</t>
  </si>
  <si>
    <t xml:space="preserve">mellan Linköping/Åtvidaberg</t>
  </si>
  <si>
    <t xml:space="preserve">Norrbygård</t>
  </si>
  <si>
    <t xml:space="preserve">Grebo</t>
  </si>
  <si>
    <t xml:space="preserve">norrbygård.se</t>
  </si>
  <si>
    <t xml:space="preserve">mellan Östra Husby/Arkösund</t>
  </si>
  <si>
    <t xml:space="preserve">Mossebo Gårdsbutik &amp; Rökeri</t>
  </si>
  <si>
    <t xml:space="preserve">Valdemarsvik</t>
  </si>
  <si>
    <t xml:space="preserve">mossebogardsbutik.se</t>
  </si>
  <si>
    <t xml:space="preserve">utanför Valdemarsvik</t>
  </si>
  <si>
    <t xml:space="preserve">Nääs Gårdsbryggeri</t>
  </si>
  <si>
    <t xml:space="preserve">naasbrygg.se</t>
  </si>
  <si>
    <t xml:space="preserve">Hermelins Gårdsbutik</t>
  </si>
  <si>
    <t xml:space="preserve">Skänninge</t>
  </si>
  <si>
    <t xml:space="preserve">hermelins.se</t>
  </si>
  <si>
    <t xml:space="preserve">ca 2 km utanför Skänninge</t>
  </si>
  <si>
    <t xml:space="preserve">Linköping, Roxen</t>
  </si>
  <si>
    <t xml:space="preserve">Corren/tadigut.nu</t>
  </si>
  <si>
    <t xml:space="preserve">Kinda Gurka</t>
  </si>
  <si>
    <t xml:space="preserve">Kinda</t>
  </si>
  <si>
    <t xml:space="preserve">kindagurka.se</t>
  </si>
  <si>
    <t xml:space="preserve">Sommenfisk Gårdsbutik &amp; Rökeri</t>
  </si>
  <si>
    <t xml:space="preserve">vid Sommen</t>
  </si>
  <si>
    <t xml:space="preserve">sommenfisk.se</t>
  </si>
  <si>
    <t xml:space="preserve">Finnö Fisk</t>
  </si>
  <si>
    <t xml:space="preserve">S:t Anna</t>
  </si>
  <si>
    <t xml:space="preserve">finnofisk.se</t>
  </si>
  <si>
    <t xml:space="preserve">Finnö, S:t Anna</t>
  </si>
  <si>
    <t xml:space="preserve">Lundby Nöt &amp; Lamm</t>
  </si>
  <si>
    <t xml:space="preserve">facebook.com/lundbyvstergard</t>
  </si>
  <si>
    <t xml:space="preserve">Bjärka-Säby Gård</t>
  </si>
  <si>
    <t xml:space="preserve">Sturefors/Bjärka-Säby</t>
  </si>
  <si>
    <t xml:space="preserve">naringslivet.org</t>
  </si>
  <si>
    <t xml:space="preserve">Stebbarps Gård</t>
  </si>
  <si>
    <t xml:space="preserve">södra Östergötland</t>
  </si>
  <si>
    <t xml:space="preserve">stebbarp.se</t>
  </si>
  <si>
    <t xml:space="preserve">Herrsäter Kungsgård</t>
  </si>
  <si>
    <t xml:space="preserve">herrsater.se</t>
  </si>
  <si>
    <t xml:space="preserve">Tåkerns Trädgård</t>
  </si>
  <si>
    <t xml:space="preserve">vid Tåkern</t>
  </si>
  <si>
    <t xml:space="preserve">naturus.se</t>
  </si>
  <si>
    <t xml:space="preserve">Öströö Fårfarm</t>
  </si>
  <si>
    <t xml:space="preserve">Tvååker</t>
  </si>
  <si>
    <t xml:space="preserve">ostroofarfarm.com</t>
  </si>
  <si>
    <t xml:space="preserve">0340-450 36</t>
  </si>
  <si>
    <t xml:space="preserve">info@ostroofarfarm.com</t>
  </si>
  <si>
    <t xml:space="preserve">Öströö 10, 432 77 Tvååker</t>
  </si>
  <si>
    <t xml:space="preserve">allabolag; hitta</t>
  </si>
  <si>
    <t xml:space="preserve">Wapnö Gård / Gårdsbutik</t>
  </si>
  <si>
    <t xml:space="preserve">wapno.se; wapnogardsbutik.se</t>
  </si>
  <si>
    <t xml:space="preserve">035-12 55 00 / 035-299 0300</t>
  </si>
  <si>
    <t xml:space="preserve">wapno@wapno.se</t>
  </si>
  <si>
    <t xml:space="preserve">Gudmundsgården</t>
  </si>
  <si>
    <t xml:space="preserve">Asige/Slöinge</t>
  </si>
  <si>
    <t xml:space="preserve">falkenberg.se/gudmundsgarden</t>
  </si>
  <si>
    <t xml:space="preserve">0346-405 08</t>
  </si>
  <si>
    <t xml:space="preserve">butik.gudmund@gmail.com</t>
  </si>
  <si>
    <t xml:space="preserve">Asige, utanför Slöinge</t>
  </si>
  <si>
    <t xml:space="preserve">Visit Halland/ekomuseum</t>
  </si>
  <si>
    <t xml:space="preserve">egen webb/ekomuseum</t>
  </si>
  <si>
    <t xml:space="preserve">Ugglarps Grönt</t>
  </si>
  <si>
    <t xml:space="preserve">Ugglarp, Falkenberg</t>
  </si>
  <si>
    <t xml:space="preserve">ugglarpsgront.se</t>
  </si>
  <si>
    <t xml:space="preserve">070-190 20 90</t>
  </si>
  <si>
    <t xml:space="preserve">info@ugglarpsgront.se</t>
  </si>
  <si>
    <t xml:space="preserve">Strandgärdesvägen 9, 311 69 Ugglarp</t>
  </si>
  <si>
    <t xml:space="preserve">egen webb; bolagsfakta</t>
  </si>
  <si>
    <t xml:space="preserve">Visit Halland</t>
  </si>
  <si>
    <t xml:space="preserve">Dönardalens Delikatess</t>
  </si>
  <si>
    <t xml:space="preserve">Våxtorp, Laholm</t>
  </si>
  <si>
    <t xml:space="preserve">Månstorps Gård</t>
  </si>
  <si>
    <t xml:space="preserve">Laholm/Mellbystrand</t>
  </si>
  <si>
    <t xml:space="preserve">manstorpsgard.com</t>
  </si>
  <si>
    <t xml:space="preserve">mellan Laholm/Mellbystrand</t>
  </si>
  <si>
    <t xml:space="preserve">Ahla mossens vilthägn</t>
  </si>
  <si>
    <t xml:space="preserve">södra Halland</t>
  </si>
  <si>
    <t xml:space="preserve">ahlamossen.se</t>
  </si>
  <si>
    <t xml:space="preserve">sydhalländska landsbygden</t>
  </si>
  <si>
    <t xml:space="preserve">Vilshärads gårdsbutik</t>
  </si>
  <si>
    <t xml:space="preserve">Vilshärad</t>
  </si>
  <si>
    <t xml:space="preserve">Visit Halland/Destination Halmstad</t>
  </si>
  <si>
    <t xml:space="preserve">Kilagårds gröna</t>
  </si>
  <si>
    <t xml:space="preserve">Hafi Fabriksbutik</t>
  </si>
  <si>
    <t xml:space="preserve">Brännarp</t>
  </si>
  <si>
    <t xml:space="preserve">hafi.com</t>
  </si>
  <si>
    <t xml:space="preserve">Bolmen, Unnaryd</t>
  </si>
  <si>
    <t xml:space="preserve">Regnér Garden</t>
  </si>
  <si>
    <t xml:space="preserve">regner-garden.se</t>
  </si>
  <si>
    <t xml:space="preserve">Åsa</t>
  </si>
  <si>
    <t xml:space="preserve">Warberg Tomateria</t>
  </si>
  <si>
    <t xml:space="preserve">warbergtomateria.se</t>
  </si>
  <si>
    <t xml:space="preserve">Skottorp, Laholm</t>
  </si>
  <si>
    <t xml:space="preserve">egen webb; allabolag</t>
  </si>
  <si>
    <t xml:space="preserve">Slättåkra Närproducerat</t>
  </si>
  <si>
    <t xml:space="preserve">utanför Halmstad</t>
  </si>
  <si>
    <t xml:space="preserve">Destination Halmstad</t>
  </si>
  <si>
    <t xml:space="preserve">Samägd gårdsbutik</t>
  </si>
  <si>
    <t xml:space="preserve">Gute Vingård</t>
  </si>
  <si>
    <t xml:space="preserve">Näsudden, Havdhem</t>
  </si>
  <si>
    <t xml:space="preserve">gutevingard.se</t>
  </si>
  <si>
    <t xml:space="preserve">Hablingbo Hallbjäns 861, 623 42 Havdhem</t>
  </si>
  <si>
    <t xml:space="preserve">Ejmunds Gård</t>
  </si>
  <si>
    <t xml:space="preserve">gardsnara/gotland.com</t>
  </si>
  <si>
    <t xml:space="preserve">Gute Glass</t>
  </si>
  <si>
    <t xml:space="preserve">Barlingbo, Stafva</t>
  </si>
  <si>
    <t xml:space="preserve">guteglass.se</t>
  </si>
  <si>
    <t xml:space="preserve">0498-28 41 00</t>
  </si>
  <si>
    <t xml:space="preserve">klara@guteglass.se</t>
  </si>
  <si>
    <t xml:space="preserve">Stafva Gårdsmejeri, Barlingbo</t>
  </si>
  <si>
    <t xml:space="preserve">Fårölamm</t>
  </si>
  <si>
    <t xml:space="preserve">Fårö</t>
  </si>
  <si>
    <t xml:space="preserve">gardsnara</t>
  </si>
  <si>
    <t xml:space="preserve">Gotlands enda gårdsslakteri</t>
  </si>
  <si>
    <t xml:space="preserve">Halfvede Musteri &amp; Gårdsbutik</t>
  </si>
  <si>
    <t xml:space="preserve">När/Dalhem</t>
  </si>
  <si>
    <t xml:space="preserve">subagent</t>
  </si>
  <si>
    <t xml:space="preserve">Motstridig adress - verifiera</t>
  </si>
  <si>
    <t xml:space="preserve">Hejde Honungs Hus</t>
  </si>
  <si>
    <t xml:space="preserve">Hejde</t>
  </si>
  <si>
    <t xml:space="preserve">0498-24 31 42 / 070-743 33 49</t>
  </si>
  <si>
    <t xml:space="preserve">per.wallstedt@i.lrf.se</t>
  </si>
  <si>
    <t xml:space="preserve">Hejde Häglajvs 430, 623 75 Klintehamn</t>
  </si>
  <si>
    <t xml:space="preserve">Sanda</t>
  </si>
  <si>
    <t xml:space="preserve">Rommunds Fårgård</t>
  </si>
  <si>
    <t xml:space="preserve">Gammelgarn</t>
  </si>
  <si>
    <t xml:space="preserve">Gandarve Gård</t>
  </si>
  <si>
    <t xml:space="preserve">Vänge</t>
  </si>
  <si>
    <t xml:space="preserve">Gotlandsägg</t>
  </si>
  <si>
    <t xml:space="preserve">Stenkyrka</t>
  </si>
  <si>
    <t xml:space="preserve">gotlandsagg.se</t>
  </si>
  <si>
    <t xml:space="preserve">0498-29 10 60</t>
  </si>
  <si>
    <t xml:space="preserve">anders.andersson@gotlandsagg.se</t>
  </si>
  <si>
    <t xml:space="preserve">Stenkyrka Stenstugu 155, Tingstäde</t>
  </si>
  <si>
    <t xml:space="preserve">Större äggpackeri - ej småskalig</t>
  </si>
  <si>
    <t xml:space="preserve">Långmyre Vineri</t>
  </si>
  <si>
    <t xml:space="preserve">Hamra</t>
  </si>
  <si>
    <t xml:space="preserve">Snausarve Gårdsbryggeri</t>
  </si>
  <si>
    <t xml:space="preserve">Silte</t>
  </si>
  <si>
    <t xml:space="preserve">snausarve.nu</t>
  </si>
  <si>
    <t xml:space="preserve">073-739 37 35</t>
  </si>
  <si>
    <t xml:space="preserve">Silte Snausarve 128, 623 43 Havdhem</t>
  </si>
  <si>
    <t xml:space="preserve">Lass'ns Grönsaker</t>
  </si>
  <si>
    <t xml:space="preserve">När</t>
  </si>
  <si>
    <t xml:space="preserve">073-180 76 30</t>
  </si>
  <si>
    <t xml:space="preserve">nar.se</t>
  </si>
  <si>
    <t xml:space="preserve">Frigges Gård</t>
  </si>
  <si>
    <t xml:space="preserve">0498-49 20 32 / 070-549 20 32</t>
  </si>
  <si>
    <t xml:space="preserve">Paulas Grönsaker</t>
  </si>
  <si>
    <t xml:space="preserve">gotland.com/companies/paulas-gronsaker</t>
  </si>
  <si>
    <t xml:space="preserve">076-766 96 02</t>
  </si>
  <si>
    <t xml:space="preserve">paulasgronsaker@gmail.com</t>
  </si>
  <si>
    <t xml:space="preserve">När Bomunds i Hammaren 526</t>
  </si>
  <si>
    <t xml:space="preserve">Christer Johansson (Dalbo gård)</t>
  </si>
  <si>
    <t xml:space="preserve">0498-49 20 33</t>
  </si>
  <si>
    <t xml:space="preserve">Gotlandsgårdens Konfektyr</t>
  </si>
  <si>
    <t xml:space="preserve">När, Maldes</t>
  </si>
  <si>
    <t xml:space="preserve">gotlandskonfektyr.se</t>
  </si>
  <si>
    <t xml:space="preserve">070-549 23 70</t>
  </si>
  <si>
    <t xml:space="preserve">Tajnungs Gård</t>
  </si>
  <si>
    <t xml:space="preserve">Hangvar</t>
  </si>
  <si>
    <t xml:space="preserve">073-512 60 19</t>
  </si>
  <si>
    <t xml:space="preserve">Tajnungs 129, 624 54 Lärbro</t>
  </si>
  <si>
    <t xml:space="preserve">subagent (krav.se)</t>
  </si>
  <si>
    <t xml:space="preserve">Ungesmiss Gårdsbutik</t>
  </si>
  <si>
    <t xml:space="preserve">Ljungens Bigårdar</t>
  </si>
  <si>
    <t xml:space="preserve">ljungens.se</t>
  </si>
  <si>
    <t xml:space="preserve">0498-510 24</t>
  </si>
  <si>
    <t xml:space="preserve">a.ljungen@telia.com</t>
  </si>
  <si>
    <t xml:space="preserve">Vänge Hägvalds 351, 622 36 Romakloster</t>
  </si>
  <si>
    <t xml:space="preserve">Wisby Ost</t>
  </si>
  <si>
    <t xml:space="preserve">Ostbutik - ej gårdsmejeri</t>
  </si>
  <si>
    <t xml:space="preserve">Äggaboden i Edestad</t>
  </si>
  <si>
    <t xml:space="preserve">Ekne Gård</t>
  </si>
  <si>
    <t xml:space="preserve">Jämshög</t>
  </si>
  <si>
    <t xml:space="preserve">egen webb/porthotel</t>
  </si>
  <si>
    <t xml:space="preserve">porthotel/Visit Blekinge</t>
  </si>
  <si>
    <t xml:space="preserve">porthotel</t>
  </si>
  <si>
    <t xml:space="preserve">Sölvekulle Handelsträdgård</t>
  </si>
  <si>
    <t xml:space="preserve">0456-196 55</t>
  </si>
  <si>
    <t xml:space="preserve">Mjällbyvägen 134, Sölvesborg</t>
  </si>
  <si>
    <t xml:space="preserve">Äppelboden musteri</t>
  </si>
  <si>
    <t xml:space="preserve">Mörrum</t>
  </si>
  <si>
    <t xml:space="preserve">Blekinge Coffee</t>
  </si>
  <si>
    <t xml:space="preserve">blekinge.coffee</t>
  </si>
  <si>
    <t xml:space="preserve">070-743 70 12</t>
  </si>
  <si>
    <t xml:space="preserve">henrik@blekinge.coffee</t>
  </si>
  <si>
    <t xml:space="preserve">Östra Vägen 1, 375 32 Mörrum</t>
  </si>
  <si>
    <t xml:space="preserve">Brödhultsgården</t>
  </si>
  <si>
    <t xml:space="preserve">Kyrkhult</t>
  </si>
  <si>
    <t xml:space="preserve">Holje glassfabrik</t>
  </si>
  <si>
    <t xml:space="preserve">Vilshult</t>
  </si>
  <si>
    <t xml:space="preserve">0454-70 00 33</t>
  </si>
  <si>
    <t xml:space="preserve">Skolvägen 3, Vilshult</t>
  </si>
  <si>
    <t xml:space="preserve">Gungvala Handelsgård</t>
  </si>
  <si>
    <t xml:space="preserve">Svängsta</t>
  </si>
  <si>
    <t xml:space="preserve">070-876 25 82</t>
  </si>
  <si>
    <t xml:space="preserve">gungvalahandelsgard@gmail.com</t>
  </si>
  <si>
    <t xml:space="preserve">Gungvalavägen 651, Svängsta</t>
  </si>
  <si>
    <t xml:space="preserve">Kölja-Ola Gårdskött</t>
  </si>
  <si>
    <t xml:space="preserve">Trensum</t>
  </si>
  <si>
    <t xml:space="preserve">070-547 14 51</t>
  </si>
  <si>
    <t xml:space="preserve">Köljavägen 161, Trensum</t>
  </si>
  <si>
    <t xml:space="preserve">Hasselstads Lantbod</t>
  </si>
  <si>
    <t xml:space="preserve">Kallinge</t>
  </si>
  <si>
    <t xml:space="preserve">070-964 93 02</t>
  </si>
  <si>
    <t xml:space="preserve">Per Hasselbergs väg 36, Kallinge</t>
  </si>
  <si>
    <t xml:space="preserve">Bussemåla Gård</t>
  </si>
  <si>
    <t xml:space="preserve">070-514 21 45</t>
  </si>
  <si>
    <t xml:space="preserve">mats@hugg.nu</t>
  </si>
  <si>
    <t xml:space="preserve">Droppemålavägen 123, Ronneby</t>
  </si>
  <si>
    <t xml:space="preserve">Björketorps Gård</t>
  </si>
  <si>
    <t xml:space="preserve">Johannishus</t>
  </si>
  <si>
    <t xml:space="preserve">Johannishus Gods</t>
  </si>
  <si>
    <t xml:space="preserve">johannishus.com</t>
  </si>
  <si>
    <t xml:space="preserve">0735-936034</t>
  </si>
  <si>
    <t xml:space="preserve">maria@johannishus.com</t>
  </si>
  <si>
    <t xml:space="preserve">Möllerydsvägen 11, Johannishus</t>
  </si>
  <si>
    <t xml:space="preserve">Förkärla Gård</t>
  </si>
  <si>
    <t xml:space="preserve">forkarlagard.se</t>
  </si>
  <si>
    <t xml:space="preserve">073-433 33 03</t>
  </si>
  <si>
    <t xml:space="preserve">info@forkarlagard.se</t>
  </si>
  <si>
    <t xml:space="preserve">Nedre Arvidstorpsvägen 1, Johannishus</t>
  </si>
  <si>
    <t xml:space="preserve">Landet Gastronomi &amp; Agrikultur</t>
  </si>
  <si>
    <t xml:space="preserve">Nättraby</t>
  </si>
  <si>
    <t xml:space="preserve">070-392 67 65</t>
  </si>
  <si>
    <t xml:space="preserve">ekolandet@gmail.com</t>
  </si>
  <si>
    <t xml:space="preserve">Parkvägen 10, Nättraby</t>
  </si>
  <si>
    <t xml:space="preserve">Skärva Ekobutik</t>
  </si>
  <si>
    <t xml:space="preserve">0455-456 22</t>
  </si>
  <si>
    <t xml:space="preserve">skarvaekobutik@gmail.com</t>
  </si>
  <si>
    <t xml:space="preserve">Skärva Gård, 371 91 Karlskrona</t>
  </si>
  <si>
    <t xml:space="preserve">Askunga Dovvilt</t>
  </si>
  <si>
    <t xml:space="preserve">Rödeby</t>
  </si>
  <si>
    <t xml:space="preserve">0733-44 12 70</t>
  </si>
  <si>
    <t xml:space="preserve">jwidebrant@gmail.com</t>
  </si>
  <si>
    <t xml:space="preserve">Askunga 422, 373 35 Rödeby</t>
  </si>
  <si>
    <t xml:space="preserve">Spjutsbygds Gård</t>
  </si>
  <si>
    <t xml:space="preserve">spjutsbygd.se</t>
  </si>
  <si>
    <t xml:space="preserve">0455-430 20</t>
  </si>
  <si>
    <t xml:space="preserve">Ekekullevägen 1, Rödeby</t>
  </si>
  <si>
    <t xml:space="preserve">Jämjö Lanthandel Smaklöken</t>
  </si>
  <si>
    <t xml:space="preserve">jamjolanthandel.se</t>
  </si>
  <si>
    <t xml:space="preserve">0455-240 08</t>
  </si>
  <si>
    <t xml:space="preserve">info@jamjolanthandel.se</t>
  </si>
  <si>
    <t xml:space="preserve">Västra Riksvägen 6, Jämjö</t>
  </si>
  <si>
    <t xml:space="preserve">Bond-butiken / Olsäng</t>
  </si>
  <si>
    <t xml:space="preserve">Fågelmara</t>
  </si>
  <si>
    <t xml:space="preserve">0455-36 80 14 / 0708-48 72 02</t>
  </si>
  <si>
    <t xml:space="preserve">bond-garden@hotmail.com</t>
  </si>
  <si>
    <t xml:space="preserve">Olsäng, 373 78 Fågelmara</t>
  </si>
  <si>
    <t xml:space="preserve">Olsängs Potatis</t>
  </si>
  <si>
    <t xml:space="preserve">Lönneholmsgrisar</t>
  </si>
  <si>
    <t xml:space="preserve">073-356 55 54</t>
  </si>
  <si>
    <t xml:space="preserve">grisbonden1@hotmail.com</t>
  </si>
  <si>
    <t xml:space="preserve">Åvägen 65, Sölvesborg</t>
  </si>
  <si>
    <t xml:space="preserve">Grävelsta Gård</t>
  </si>
  <si>
    <t xml:space="preserve">KRAV</t>
  </si>
  <si>
    <t xml:space="preserve">Gabis granna grönsaker</t>
  </si>
  <si>
    <t xml:space="preserve">Rånäs</t>
  </si>
  <si>
    <t xml:space="preserve">Lugnets Bigårdar</t>
  </si>
  <si>
    <t xml:space="preserve">Mölnbo</t>
  </si>
  <si>
    <t xml:space="preserve">lugnetsbigardar.se</t>
  </si>
  <si>
    <t xml:space="preserve">070-763 36 16</t>
  </si>
  <si>
    <t xml:space="preserve">Alpvägen 20, 153 60 Mölnbo</t>
  </si>
  <si>
    <t xml:space="preserve">Mattssons Lamm</t>
  </si>
  <si>
    <t xml:space="preserve">mattssonslamm.se</t>
  </si>
  <si>
    <t xml:space="preserve">070-370 33 91</t>
  </si>
  <si>
    <t xml:space="preserve">Fridhemsstigen 3, 761 74 Norrtälje</t>
  </si>
  <si>
    <t xml:space="preserve">Rosenhills Trädgård</t>
  </si>
  <si>
    <t xml:space="preserve">Rospiggornas Gårdsbod</t>
  </si>
  <si>
    <t xml:space="preserve">rospiggorna.se</t>
  </si>
  <si>
    <t xml:space="preserve">070-645 25 87</t>
  </si>
  <si>
    <t xml:space="preserve">Grytsjövägen 28, 761 75 Norrtälje</t>
  </si>
  <si>
    <t xml:space="preserve">Trädgårn Södertälje</t>
  </si>
  <si>
    <t xml:space="preserve">trädgårn-södertälje.se</t>
  </si>
  <si>
    <t xml:space="preserve">073-976 96 87</t>
  </si>
  <si>
    <t xml:space="preserve">Linavägen 50, Södertälje</t>
  </si>
  <si>
    <t xml:space="preserve">Husa Jordbruk Gårdsbutik</t>
  </si>
  <si>
    <t xml:space="preserve">Brottby, Vallentuna</t>
  </si>
  <si>
    <t xml:space="preserve">073-422 23 xx</t>
  </si>
  <si>
    <t xml:space="preserve">Husa 5C, 186 97 Brottby</t>
  </si>
  <si>
    <t xml:space="preserve">eniro</t>
  </si>
  <si>
    <t xml:space="preserve">Avkortat nummer - verifiera</t>
  </si>
  <si>
    <t xml:space="preserve">Orkesta-Granby Gård</t>
  </si>
  <si>
    <t xml:space="preserve">08-612 30 xx</t>
  </si>
  <si>
    <t xml:space="preserve">Orkesta-Granby, 186 94 Vallentuna</t>
  </si>
  <si>
    <t xml:space="preserve">Skilleby Trädgård</t>
  </si>
  <si>
    <t xml:space="preserve">Järna</t>
  </si>
  <si>
    <t xml:space="preserve">073-578 56 xx</t>
  </si>
  <si>
    <t xml:space="preserve">Skilleby mellangård, 153 91 Järna</t>
  </si>
  <si>
    <t xml:space="preserve">Värmdö Musteri</t>
  </si>
  <si>
    <t xml:space="preserve">fransverige.se</t>
  </si>
  <si>
    <t xml:space="preserve">Säby Gård</t>
  </si>
  <si>
    <t xml:space="preserve">Billinge Gård</t>
  </si>
  <si>
    <t xml:space="preserve">billingegard.se</t>
  </si>
  <si>
    <t xml:space="preserve">Billingevägen 20, 761 75 Norrtälje</t>
  </si>
  <si>
    <t xml:space="preserve">roslagen.se</t>
  </si>
  <si>
    <t xml:space="preserve">Grytinge Gård</t>
  </si>
  <si>
    <t xml:space="preserve">norrtaljeforetag.se</t>
  </si>
  <si>
    <t xml:space="preserve">Samstorps Gård</t>
  </si>
  <si>
    <t xml:space="preserve">roslagen.se; norrteljemusteri</t>
  </si>
  <si>
    <t xml:space="preserve">Överby Getgård</t>
  </si>
  <si>
    <t xml:space="preserve">Lännav. 16, 761 93 Norrtälje</t>
  </si>
  <si>
    <t xml:space="preserve">Hornuddens Trädgård</t>
  </si>
  <si>
    <t xml:space="preserve">Kungsberg Gård</t>
  </si>
  <si>
    <t xml:space="preserve">073-581 07 36</t>
  </si>
  <si>
    <t xml:space="preserve">Kungsberg 1, 645 92 Strängnäs</t>
  </si>
  <si>
    <t xml:space="preserve">Magdakullan (Magda Säteri)</t>
  </si>
  <si>
    <t xml:space="preserve">Västra Näshulta</t>
  </si>
  <si>
    <t xml:space="preserve">magdakullan.se</t>
  </si>
  <si>
    <t xml:space="preserve">016-800 18</t>
  </si>
  <si>
    <t xml:space="preserve">Magda Säteri, 643 97 V. Näshulta</t>
  </si>
  <si>
    <t xml:space="preserve">Morrarö Gård</t>
  </si>
  <si>
    <t xml:space="preserve">morraro.se</t>
  </si>
  <si>
    <t xml:space="preserve">070-444 31 52</t>
  </si>
  <si>
    <t xml:space="preserve">Morrarö 1, 645 93 Strängnäs</t>
  </si>
  <si>
    <t xml:space="preserve">Ändebols gård</t>
  </si>
  <si>
    <t xml:space="preserve">Sörmland</t>
  </si>
  <si>
    <t xml:space="preserve">andebolsgard.se</t>
  </si>
  <si>
    <t xml:space="preserve">Rocklösa Gårdsbutik</t>
  </si>
  <si>
    <t xml:space="preserve">rocklosa.se</t>
  </si>
  <si>
    <t xml:space="preserve">070-550 11 49</t>
  </si>
  <si>
    <t xml:space="preserve">Rocklösa, Stjärnhov</t>
  </si>
  <si>
    <t xml:space="preserve">sagolikasormland</t>
  </si>
  <si>
    <t xml:space="preserve">Stavtorps Honung och Musteri</t>
  </si>
  <si>
    <t xml:space="preserve">Malmköping-trakten</t>
  </si>
  <si>
    <t xml:space="preserve">Stavtorp</t>
  </si>
  <si>
    <t xml:space="preserve">matkluster</t>
  </si>
  <si>
    <t xml:space="preserve">Stjärnhovs Kaningård</t>
  </si>
  <si>
    <t xml:space="preserve">Berga Gård – Husby Oppunda</t>
  </si>
  <si>
    <t xml:space="preserve">Bettna</t>
  </si>
  <si>
    <t xml:space="preserve">Bergs Gård</t>
  </si>
  <si>
    <t xml:space="preserve">Onsberga Gård</t>
  </si>
  <si>
    <t xml:space="preserve">Tystberga</t>
  </si>
  <si>
    <t xml:space="preserve">Rekarnekött – Lindholms gård</t>
  </si>
  <si>
    <t xml:space="preserve">Solby Gård</t>
  </si>
  <si>
    <t xml:space="preserve">Grinda Gårdsglass</t>
  </si>
  <si>
    <t xml:space="preserve">Malmköping</t>
  </si>
  <si>
    <t xml:space="preserve">Sörmlands Musteri</t>
  </si>
  <si>
    <t xml:space="preserve">Uppmälby Gård</t>
  </si>
  <si>
    <t xml:space="preserve">Björnlunda</t>
  </si>
  <si>
    <t xml:space="preserve">0158-206 28</t>
  </si>
  <si>
    <t xml:space="preserve">Uppmälby, Björnlunda</t>
  </si>
  <si>
    <t xml:space="preserve">Kastebergs Gårdsbutik</t>
  </si>
  <si>
    <t xml:space="preserve">kasteberg.com</t>
  </si>
  <si>
    <t xml:space="preserve">0372-120 00</t>
  </si>
  <si>
    <t xml:space="preserve">Össlöv Kasteberg 2, Ljungby</t>
  </si>
  <si>
    <t xml:space="preserve">MAT-rundan</t>
  </si>
  <si>
    <t xml:space="preserve">Trotteslövs Gård</t>
  </si>
  <si>
    <t xml:space="preserve">Lagan</t>
  </si>
  <si>
    <t xml:space="preserve">trotteslovsgard.se</t>
  </si>
  <si>
    <t xml:space="preserve">072-738 76 00</t>
  </si>
  <si>
    <t xml:space="preserve">Trotteslöv Norregård 11, Lagan</t>
  </si>
  <si>
    <t xml:space="preserve">Jönssons Närprodukter</t>
  </si>
  <si>
    <t xml:space="preserve">070-585 42 23</t>
  </si>
  <si>
    <t xml:space="preserve">Össlöv Nästagård 3, Ljungby</t>
  </si>
  <si>
    <t xml:space="preserve">Rosendals Biprodukter</t>
  </si>
  <si>
    <t xml:space="preserve">Strömsnäsbruk</t>
  </si>
  <si>
    <t xml:space="preserve">rosendalshonung.se</t>
  </si>
  <si>
    <t xml:space="preserve">070-314 73 33</t>
  </si>
  <si>
    <t xml:space="preserve">Lidhult 3093, Strömsnäsbruk</t>
  </si>
  <si>
    <t xml:space="preserve">Dunsmåla lamm och bigård</t>
  </si>
  <si>
    <t xml:space="preserve">facebook.com/dunsmala</t>
  </si>
  <si>
    <t xml:space="preserve">070-519 07 11</t>
  </si>
  <si>
    <t xml:space="preserve">Dunsmåla 3, Urshult</t>
  </si>
  <si>
    <t xml:space="preserve">Klasamåla Gårdsmusteri</t>
  </si>
  <si>
    <t xml:space="preserve">073-808 56 54</t>
  </si>
  <si>
    <t xml:space="preserve">Klasamåla Västergård 8, Urshult</t>
  </si>
  <si>
    <t xml:space="preserve">Åsnenrökeriet</t>
  </si>
  <si>
    <t xml:space="preserve">070-560 07 46</t>
  </si>
  <si>
    <t xml:space="preserve">Klasamåla 23, Urshult</t>
  </si>
  <si>
    <t xml:space="preserve">Malva Gård</t>
  </si>
  <si>
    <t xml:space="preserve">malvagard.se</t>
  </si>
  <si>
    <t xml:space="preserve">070-764 58 63</t>
  </si>
  <si>
    <t xml:space="preserve">Karatorp Lillegård 6, 362 95 Urshult</t>
  </si>
  <si>
    <t xml:space="preserve">MAT-rundan; KRAV</t>
  </si>
  <si>
    <t xml:space="preserve">Toftahult Gård</t>
  </si>
  <si>
    <t xml:space="preserve">Ryd</t>
  </si>
  <si>
    <t xml:space="preserve">toftahult.se</t>
  </si>
  <si>
    <t xml:space="preserve">079-341 39 10</t>
  </si>
  <si>
    <t xml:space="preserve">Ålshult 11, Ryd</t>
  </si>
  <si>
    <t xml:space="preserve">Mellskogs Gård</t>
  </si>
  <si>
    <t xml:space="preserve">Moheda</t>
  </si>
  <si>
    <t xml:space="preserve">mellskog.se</t>
  </si>
  <si>
    <t xml:space="preserve">070-886 92 84</t>
  </si>
  <si>
    <t xml:space="preserve">Mellskogsård 1 Skog, 342 62 Moheda</t>
  </si>
  <si>
    <t xml:space="preserve">Målajords kött</t>
  </si>
  <si>
    <t xml:space="preserve">Rottne</t>
  </si>
  <si>
    <t xml:space="preserve">målajordskött.se</t>
  </si>
  <si>
    <t xml:space="preserve">070-633 48 70</t>
  </si>
  <si>
    <t xml:space="preserve">Östra Målajord Herrgården 1, Rottne</t>
  </si>
  <si>
    <t xml:space="preserve">Ahls korv &amp; nötkött</t>
  </si>
  <si>
    <t xml:space="preserve">Norrhult</t>
  </si>
  <si>
    <t xml:space="preserve">070-607 41 13</t>
  </si>
  <si>
    <t xml:space="preserve">Norramåla 3, Norrhult</t>
  </si>
  <si>
    <t xml:space="preserve">Nybrukarna</t>
  </si>
  <si>
    <t xml:space="preserve">Tolg</t>
  </si>
  <si>
    <t xml:space="preserve">nybrukarna.se</t>
  </si>
  <si>
    <t xml:space="preserve">073-568 36 53</t>
  </si>
  <si>
    <t xml:space="preserve">Bråna Frälsegård 2, Tolg</t>
  </si>
  <si>
    <t xml:space="preserve">Ingelstad</t>
  </si>
  <si>
    <t xml:space="preserve">Rinkaby Gård</t>
  </si>
  <si>
    <t xml:space="preserve">Tävelsås</t>
  </si>
  <si>
    <t xml:space="preserve">Qvarnlammens Gårdsbutik</t>
  </si>
  <si>
    <t xml:space="preserve">Lenhovda</t>
  </si>
  <si>
    <t xml:space="preserve">076-853 05 60</t>
  </si>
  <si>
    <t xml:space="preserve">Östraby Kvarn 2, Lenhovda</t>
  </si>
  <si>
    <t xml:space="preserve">Linnebjörke Gård</t>
  </si>
  <si>
    <t xml:space="preserve">linnebjorke.se</t>
  </si>
  <si>
    <t xml:space="preserve">073-434 54 94</t>
  </si>
  <si>
    <t xml:space="preserve">Linnebjörke Gård, 364 92 Lenhovda</t>
  </si>
  <si>
    <t xml:space="preserve">Härlövs Skafferi</t>
  </si>
  <si>
    <t xml:space="preserve">Alvesta</t>
  </si>
  <si>
    <t xml:space="preserve">070-875 25 38</t>
  </si>
  <si>
    <t xml:space="preserve">Härlöv Västregård 1, Alvesta</t>
  </si>
  <si>
    <t xml:space="preserve">Häradsköps Gårdsbutik</t>
  </si>
  <si>
    <t xml:space="preserve">Skillingaryd</t>
  </si>
  <si>
    <t xml:space="preserve">070-436 72 18</t>
  </si>
  <si>
    <t xml:space="preserve">Häradsköps Gård, 568 92 Skillingaryd</t>
  </si>
  <si>
    <t xml:space="preserve">Jussö Ekogård</t>
  </si>
  <si>
    <t xml:space="preserve">margaretelund.se/jusso-ekogard</t>
  </si>
  <si>
    <t xml:space="preserve">076-186 44 72</t>
  </si>
  <si>
    <t xml:space="preserve">emma@jusso.se</t>
  </si>
  <si>
    <t xml:space="preserve">Jussö gård 3, 568 92 Skillingaryd</t>
  </si>
  <si>
    <t xml:space="preserve">Norrby Ängar</t>
  </si>
  <si>
    <t xml:space="preserve">Eksjö</t>
  </si>
  <si>
    <t xml:space="preserve">norrbyangar.se</t>
  </si>
  <si>
    <t xml:space="preserve">070-190 07 70</t>
  </si>
  <si>
    <t xml:space="preserve">Norrby Västergård 3, 575 94 Eksjö</t>
  </si>
  <si>
    <t xml:space="preserve">Söderlinds Ekologiska Grönsaker</t>
  </si>
  <si>
    <t xml:space="preserve">Habo</t>
  </si>
  <si>
    <t xml:space="preserve">godatomater.se</t>
  </si>
  <si>
    <t xml:space="preserve">070-814 61 49</t>
  </si>
  <si>
    <t xml:space="preserve">Långhult 2, 566 92 Habo</t>
  </si>
  <si>
    <t xml:space="preserve">Margaretelund (Björkenäs Mathantverk)</t>
  </si>
  <si>
    <t xml:space="preserve">Nässjö/Eksjö/Jönköping</t>
  </si>
  <si>
    <t xml:space="preserve">margaretelund.se</t>
  </si>
  <si>
    <t xml:space="preserve">Margaretelunds gård</t>
  </si>
  <si>
    <t xml:space="preserve">Säby Gård (Jönköping)</t>
  </si>
  <si>
    <t xml:space="preserve">Skärstadalen</t>
  </si>
  <si>
    <t xml:space="preserve">Skärstadalen, Huskvarna</t>
  </si>
  <si>
    <t xml:space="preserve">gardsnara/gardsbutiker</t>
  </si>
  <si>
    <t xml:space="preserve">Horseryds Slakteri och gårdsbutik</t>
  </si>
  <si>
    <t xml:space="preserve">JKPG/Kronoberg-gränsen</t>
  </si>
  <si>
    <t xml:space="preserve">Verifiera länstillhörighet</t>
  </si>
  <si>
    <t xml:space="preserve">Munktorps Prästgård</t>
  </si>
  <si>
    <t xml:space="preserve">munktorpsprastgard.se</t>
  </si>
  <si>
    <t xml:space="preserve">070-839 36 33</t>
  </si>
  <si>
    <t xml:space="preserve">Munktorps Prästgård 5, 731 92 Köping</t>
  </si>
  <si>
    <t xml:space="preserve">Fallängetorp för Fä och Folk</t>
  </si>
  <si>
    <t xml:space="preserve">Krylbo</t>
  </si>
  <si>
    <t xml:space="preserve">fallangetorp.se</t>
  </si>
  <si>
    <t xml:space="preserve">073-091 87 81</t>
  </si>
  <si>
    <t xml:space="preserve">Fallänge 115, 775 96 Krylbo</t>
  </si>
  <si>
    <t xml:space="preserve">Munktorps Kvarn</t>
  </si>
  <si>
    <t xml:space="preserve">Munktorp/Köping</t>
  </si>
  <si>
    <t xml:space="preserve">smakapavastmanland</t>
  </si>
  <si>
    <t xml:space="preserve">Askö Gård</t>
  </si>
  <si>
    <t xml:space="preserve">Värpeby Bär</t>
  </si>
  <si>
    <t xml:space="preserve">Kolbäck-trakten</t>
  </si>
  <si>
    <t xml:space="preserve">Värpeby</t>
  </si>
  <si>
    <t xml:space="preserve">Lundbergs Grönt &amp; Gott</t>
  </si>
  <si>
    <t xml:space="preserve">Västerås-trakten</t>
  </si>
  <si>
    <t xml:space="preserve">Stora Ekeby Kött (Säteri)</t>
  </si>
  <si>
    <t xml:space="preserve">Rytterne</t>
  </si>
  <si>
    <t xml:space="preserve">Rytterne, Västerås</t>
  </si>
  <si>
    <t xml:space="preserve">Änga Gård (Västmanland)</t>
  </si>
  <si>
    <t xml:space="preserve">norr om Arboga</t>
  </si>
  <si>
    <t xml:space="preserve">Ljungs Goa – Gårdsbutik &amp; Café</t>
  </si>
  <si>
    <t xml:space="preserve">mellan Köping/Kungsör</t>
  </si>
  <si>
    <t xml:space="preserve">Köping/Kungsör</t>
  </si>
  <si>
    <t xml:space="preserve">Gårdsbutiken i Smedby (Widéns lantbruk)</t>
  </si>
  <si>
    <t xml:space="preserve">Lycktäppans Rapsolja</t>
  </si>
  <si>
    <t xml:space="preserve">Rynninge</t>
  </si>
  <si>
    <t xml:space="preserve">Rynninge by</t>
  </si>
  <si>
    <t xml:space="preserve">Katrinelunds Bigård</t>
  </si>
  <si>
    <t xml:space="preserve">Häst- &amp; Grönsaksbonden</t>
  </si>
  <si>
    <t xml:space="preserve">Nordqvists Nötkött</t>
  </si>
  <si>
    <t xml:space="preserve">Skärlöv, Öland</t>
  </si>
  <si>
    <t xml:space="preserve">skarlov.se</t>
  </si>
  <si>
    <t xml:space="preserve">Skärlöv, sydöstra Öland</t>
  </si>
  <si>
    <t xml:space="preserve">Västerslät Gårdsbutik &amp; Café</t>
  </si>
  <si>
    <t xml:space="preserve">Kalmar, Kläckeberga</t>
  </si>
  <si>
    <t xml:space="preserve">~10 km N om Kalmar</t>
  </si>
  <si>
    <t xml:space="preserve">kalmar.com</t>
  </si>
  <si>
    <t xml:space="preserve">Nöbble Gård</t>
  </si>
  <si>
    <t xml:space="preserve">Rockneby</t>
  </si>
  <si>
    <t xml:space="preserve">egen webb; gardsnara</t>
  </si>
  <si>
    <t xml:space="preserve">Räven &amp; Osten</t>
  </si>
  <si>
    <t xml:space="preserve">Järnforsen, Hultsfred</t>
  </si>
  <si>
    <t xml:space="preserve">ravenochosten.se</t>
  </si>
  <si>
    <t xml:space="preserve">0736-50 42 60</t>
  </si>
  <si>
    <t xml:space="preserve">info@ravenochosten.se</t>
  </si>
  <si>
    <t xml:space="preserve">Lida, 577 77 Järnforsen</t>
  </si>
  <si>
    <t xml:space="preserve">Österbo Gård (Gårdsmjölk)</t>
  </si>
  <si>
    <t xml:space="preserve">Löttorp, Öland</t>
  </si>
  <si>
    <t xml:space="preserve">0733-46 97 77</t>
  </si>
  <si>
    <t xml:space="preserve">Näsgatan 23, 387 73 Löttorp</t>
  </si>
  <si>
    <t xml:space="preserve">oland.se; allabolag</t>
  </si>
  <si>
    <t xml:space="preserve">Totebo Gård</t>
  </si>
  <si>
    <t xml:space="preserve">Totebo</t>
  </si>
  <si>
    <t xml:space="preserve">Totebo Gård, 593 72 Totebo</t>
  </si>
  <si>
    <t xml:space="preserve">Stenladans Gårdsbutik</t>
  </si>
  <si>
    <t xml:space="preserve">Algutsrum, Öland</t>
  </si>
  <si>
    <t xml:space="preserve">stenladan.se</t>
  </si>
  <si>
    <t xml:space="preserve">0485-354 18</t>
  </si>
  <si>
    <t xml:space="preserve">Algutsrum 208, 386 90 Färjestaden</t>
  </si>
  <si>
    <t xml:space="preserve">Fredrikssons Smakglädje</t>
  </si>
  <si>
    <t xml:space="preserve">Löttorp/Kalmar, Öland</t>
  </si>
  <si>
    <t xml:space="preserve">fredrikssons.eu</t>
  </si>
  <si>
    <t xml:space="preserve">070-444 48 80</t>
  </si>
  <si>
    <t xml:space="preserve">mona@fredrikssons.eu</t>
  </si>
  <si>
    <t xml:space="preserve">Skräddartorpsvägen 19, 389 70 Löttorp</t>
  </si>
  <si>
    <t xml:space="preserve">Mat-torpet Solliden</t>
  </si>
  <si>
    <t xml:space="preserve">Odensvi, Västervik</t>
  </si>
  <si>
    <t xml:space="preserve">mattorpetsolliden.se</t>
  </si>
  <si>
    <t xml:space="preserve">0493-260 47</t>
  </si>
  <si>
    <t xml:space="preserve">solliden_47@hotmail.com</t>
  </si>
  <si>
    <t xml:space="preserve">Solliden Snärsfall, 594 94 Odensvi</t>
  </si>
  <si>
    <t xml:space="preserve">Övraby Lantbruk</t>
  </si>
  <si>
    <t xml:space="preserve">Söderåkra, Torsås</t>
  </si>
  <si>
    <t xml:space="preserve">ovgard.se</t>
  </si>
  <si>
    <t xml:space="preserve">0486-210 20</t>
  </si>
  <si>
    <t xml:space="preserve">ingela@ovgard.se</t>
  </si>
  <si>
    <t xml:space="preserve">Övraby 110, 385 50 Söderåkra</t>
  </si>
  <si>
    <t xml:space="preserve">Smalt butikssortiment</t>
  </si>
  <si>
    <t xml:space="preserve">Slätaboden Gårdsbutik &amp; Café</t>
  </si>
  <si>
    <t xml:space="preserve">Hagby</t>
  </si>
  <si>
    <t xml:space="preserve">slataboden.se</t>
  </si>
  <si>
    <t xml:space="preserve">Hagalundstomater</t>
  </si>
  <si>
    <t xml:space="preserve">Ljungbyholm</t>
  </si>
  <si>
    <t xml:space="preserve">Annas Gårdsbutik och Mejeri (Annas Lantdrömmar)</t>
  </si>
  <si>
    <t xml:space="preserve">gardslandet; gardsguiden</t>
  </si>
  <si>
    <t xml:space="preserve">Lenas Gårdsbutik (Knoppegården)</t>
  </si>
  <si>
    <t xml:space="preserve">Läckeby</t>
  </si>
  <si>
    <t xml:space="preserve">L. Vångerslät 312, Läckeby</t>
  </si>
  <si>
    <t xml:space="preserve">kalmar.com; gardsnara</t>
  </si>
  <si>
    <t xml:space="preserve">Kalmar Musteri (Luarna AB)</t>
  </si>
  <si>
    <t xml:space="preserve">Kalmar, Berga</t>
  </si>
  <si>
    <t xml:space="preserve">egen webb; hitta</t>
  </si>
  <si>
    <t xml:space="preserve">Möjligen vilande - verifiera</t>
  </si>
  <si>
    <t xml:space="preserve">Axel &amp; Gren (Stabby Gård)</t>
  </si>
  <si>
    <t xml:space="preserve">axelgren.se</t>
  </si>
  <si>
    <t xml:space="preserve">axelochgren@gmail.com</t>
  </si>
  <si>
    <t xml:space="preserve">Stabby 186, 755 91 Uppsala</t>
  </si>
  <si>
    <t xml:space="preserve">Hagby Gård</t>
  </si>
  <si>
    <t xml:space="preserve">Almunge</t>
  </si>
  <si>
    <t xml:space="preserve">Larsbo Lantgård</t>
  </si>
  <si>
    <t xml:space="preserve">Tierp</t>
  </si>
  <si>
    <t xml:space="preserve">076-106 10 13</t>
  </si>
  <si>
    <t xml:space="preserve">Larsbo 211, 815 92 Tierp</t>
  </si>
  <si>
    <t xml:space="preserve">Pekoe ekologiskt te</t>
  </si>
  <si>
    <t xml:space="preserve">Fjärdhundra</t>
  </si>
  <si>
    <t xml:space="preserve">pekoe.se</t>
  </si>
  <si>
    <t xml:space="preserve">070-173 93 99</t>
  </si>
  <si>
    <t xml:space="preserve">Österunda 2, 749 72 Fjärdhundra</t>
  </si>
  <si>
    <t xml:space="preserve">Ramsjö Gårdsprodukter</t>
  </si>
  <si>
    <t xml:space="preserve">Björklinge</t>
  </si>
  <si>
    <t xml:space="preserve">Skogsbackens ost</t>
  </si>
  <si>
    <t xml:space="preserve">Örsundsbro</t>
  </si>
  <si>
    <t xml:space="preserve">skogsbackensost.se</t>
  </si>
  <si>
    <t xml:space="preserve">070-725 01 77</t>
  </si>
  <si>
    <t xml:space="preserve">skogsbackensost@gmail.com</t>
  </si>
  <si>
    <t xml:space="preserve">Fittja-Hässle 14, 749 62 Örsundsbro</t>
  </si>
  <si>
    <t xml:space="preserve">KRAV; Fjärdhundraland</t>
  </si>
  <si>
    <t xml:space="preserve">Uppsala-trakten</t>
  </si>
  <si>
    <t xml:space="preserve">Fjärdhundraland</t>
  </si>
  <si>
    <t xml:space="preserve">Vreta gård</t>
  </si>
  <si>
    <t xml:space="preserve">mellan Uppsala/Västerås</t>
  </si>
  <si>
    <t xml:space="preserve">Destination Uppsala</t>
  </si>
  <si>
    <t xml:space="preserve">Österby gård</t>
  </si>
  <si>
    <t xml:space="preserve">Fjärdhundra-trakten</t>
  </si>
  <si>
    <t xml:space="preserve">Kromsta Lantbod</t>
  </si>
  <si>
    <t xml:space="preserve">Landsberga Gårdsbutik</t>
  </si>
  <si>
    <t xml:space="preserve">Biskopskulla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</si>
</sst>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6B6B6B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1F3B2C"/>
        <bgColor rgb="FF333300"/>
      </patternFill>
    </fill>
    <fill>
      <patternFill patternType="solid">
        <fgColor rgb="FFE4F0E1"/>
        <bgColor rgb="FFF1EFE8"/>
      </patternFill>
    </fill>
    <fill>
      <patternFill patternType="solid">
        <fgColor rgb="FFF1EFE8"/>
        <bgColor rgb="FFE4F0E1"/>
      </patternFill>
    </fill>
    <fill>
      <patternFill patternType="solid">
        <fgColor rgb="FFFFF6D9"/>
        <bgColor rgb="FFFFF2CC"/>
      </patternFill>
    </fill>
    <fill>
      <patternFill patternType="solid">
        <fgColor rgb="FF4472C4"/>
        <bgColor rgb="FF6B6B6B"/>
      </patternFill>
    </fill>
    <fill>
      <patternFill patternType="solid">
        <fgColor rgb="FFFFF2CC"/>
        <bgColor rgb="FFFFF6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B2C"/>
          <bgColor rgb="FF000000"/>
        </patternFill>
      </fill>
    </dxf>
    <dxf>
      <fill>
        <patternFill patternType="solid">
          <fgColor rgb="FFE4F0E1"/>
          <bgColor rgb="FF000000"/>
        </patternFill>
      </fill>
    </dxf>
    <dxf>
      <fill>
        <patternFill patternType="solid">
          <fgColor rgb="FFF1EF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B5E2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9"/>
      <rgbColor rgb="FFF1EF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0E1"/>
      <rgbColor rgb="FFFFF2CC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2E7D32"/>
      <rgbColor rgb="FF003300"/>
      <rgbColor rgb="FF333300"/>
      <rgbColor rgb="FF993300"/>
      <rgbColor rgb="FF993366"/>
      <rgbColor rgb="FF555555"/>
      <rgbColor rgb="FF1F3B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26"/>
    <col collapsed="false" customWidth="true" hidden="false" outlineLevel="0" max="4" min="4" style="1" width="22"/>
    <col collapsed="false" customWidth="true" hidden="false" outlineLevel="0" max="5" min="5" style="1" width="24"/>
    <col collapsed="false" customWidth="true" hidden="false" outlineLevel="0" max="7" min="6" style="1" width="20"/>
    <col collapsed="false" customWidth="true" hidden="false" outlineLevel="0" max="8" min="8" style="1" width="22"/>
    <col collapsed="false" customWidth="true" hidden="false" outlineLevel="0" max="9" min="9" style="1" width="20"/>
    <col collapsed="false" customWidth="true" hidden="false" outlineLevel="0" max="11" min="10" style="1" width="22"/>
    <col collapsed="false" customWidth="true" hidden="false" outlineLevel="0" max="16" min="12" style="0" width="15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4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3"/>
      <c r="J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5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3"/>
      <c r="F5" s="3"/>
      <c r="G5" s="3"/>
      <c r="H5" s="3"/>
      <c r="I5" s="3"/>
      <c r="J5" s="3"/>
    </row>
    <row r="6" customFormat="false" ht="15" hidden="false" customHeight="true" outlineLevel="0" collapsed="false">
      <c r="A6" s="3" t="s">
        <v>7</v>
      </c>
      <c r="B6" s="3" t="n">
        <v>4</v>
      </c>
      <c r="C6" s="3" t="n">
        <v>0.2</v>
      </c>
      <c r="D6" s="3" t="n">
        <f aca="false">B6*C6</f>
        <v>0.8</v>
      </c>
      <c r="E6" s="3"/>
      <c r="F6" s="3"/>
      <c r="G6" s="3"/>
      <c r="H6" s="3"/>
      <c r="I6" s="3"/>
      <c r="J6" s="3"/>
    </row>
    <row r="7" customFormat="false" ht="15" hidden="false" customHeight="true" outlineLevel="0" collapsed="false">
      <c r="A7" s="3" t="s">
        <v>8</v>
      </c>
      <c r="B7" s="3" t="n">
        <v>9</v>
      </c>
      <c r="C7" s="3" t="n">
        <v>0.5</v>
      </c>
      <c r="D7" s="3" t="n">
        <f aca="false">B7*C7</f>
        <v>4.5</v>
      </c>
      <c r="E7" s="3"/>
      <c r="F7" s="3"/>
      <c r="G7" s="3"/>
      <c r="H7" s="3"/>
      <c r="I7" s="3"/>
      <c r="J7" s="3"/>
    </row>
    <row r="8" customFormat="false" ht="15" hidden="false" customHeight="true" outlineLevel="0" collapsed="false">
      <c r="A8" s="3" t="s">
        <v>9</v>
      </c>
      <c r="B8" s="3" t="n">
        <v>9</v>
      </c>
      <c r="C8" s="3" t="n">
        <v>0.75</v>
      </c>
      <c r="D8" s="3" t="n">
        <f aca="false">B8*C8</f>
        <v>6.75</v>
      </c>
      <c r="E8" s="3"/>
      <c r="F8" s="3"/>
      <c r="G8" s="3"/>
      <c r="H8" s="3"/>
      <c r="I8" s="3"/>
      <c r="J8" s="3"/>
    </row>
    <row r="9" customFormat="false" ht="15" hidden="false" customHeight="true" outlineLevel="0" collapsed="false">
      <c r="A9" s="3" t="s">
        <v>10</v>
      </c>
      <c r="B9" s="3" t="n">
        <v>45</v>
      </c>
      <c r="C9" s="3" t="n">
        <v>1</v>
      </c>
      <c r="D9" s="3" t="n">
        <f aca="false">B9*C9</f>
        <v>45</v>
      </c>
      <c r="E9" s="3"/>
      <c r="F9" s="3"/>
      <c r="G9" s="3"/>
      <c r="H9" s="3"/>
      <c r="I9" s="3"/>
      <c r="J9" s="3"/>
    </row>
    <row r="10" customFormat="false" ht="15" hidden="false" customHeight="true" outlineLevel="0" collapsed="false">
      <c r="A10" s="3" t="s">
        <v>11</v>
      </c>
      <c r="B10" s="3" t="n">
        <v>8</v>
      </c>
      <c r="C10" s="3" t="n">
        <v>0.85</v>
      </c>
      <c r="D10" s="3" t="n">
        <f aca="false">B10*C10</f>
        <v>6.8</v>
      </c>
      <c r="E10" s="3"/>
      <c r="F10" s="3"/>
      <c r="G10" s="3"/>
      <c r="H10" s="3"/>
      <c r="I10" s="3"/>
      <c r="J10" s="3"/>
    </row>
    <row r="11" customFormat="false" ht="15" hidden="false" customHeight="true" outlineLevel="0" collapsed="false">
      <c r="A11" s="7" t="s">
        <v>12</v>
      </c>
      <c r="B11" s="7" t="n">
        <f aca="false">SUM(B6:B10)</f>
        <v>75</v>
      </c>
      <c r="C11" s="3"/>
      <c r="D11" s="7" t="n">
        <f aca="false">SUM(D6:D10)</f>
        <v>63.85</v>
      </c>
      <c r="E11" s="3"/>
      <c r="F11" s="3"/>
      <c r="G11" s="3"/>
      <c r="H11" s="3"/>
      <c r="I11" s="3"/>
      <c r="J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5" hidden="false" customHeight="true" outlineLevel="0" collapsed="false">
      <c r="A14" s="5" t="s">
        <v>13</v>
      </c>
      <c r="B14" s="3"/>
      <c r="C14" s="3"/>
      <c r="D14" s="3"/>
      <c r="E14" s="3"/>
      <c r="F14" s="3"/>
      <c r="G14" s="3"/>
      <c r="H14" s="3"/>
      <c r="I14" s="3"/>
      <c r="J14" s="3"/>
    </row>
    <row r="15" customFormat="false" ht="30" hidden="false" customHeight="true" outlineLevel="0" collapsed="false">
      <c r="A15" s="6" t="s">
        <v>14</v>
      </c>
      <c r="B15" s="6" t="s">
        <v>15</v>
      </c>
      <c r="C15" s="6" t="s">
        <v>16</v>
      </c>
      <c r="D15" s="6" t="s">
        <v>17</v>
      </c>
      <c r="E15" s="6" t="s">
        <v>18</v>
      </c>
      <c r="F15" s="6" t="s">
        <v>19</v>
      </c>
      <c r="G15" s="6" t="s">
        <v>20</v>
      </c>
      <c r="H15" s="6" t="s">
        <v>21</v>
      </c>
      <c r="I15" s="6" t="s">
        <v>22</v>
      </c>
      <c r="J15" s="6" t="s">
        <v>23</v>
      </c>
      <c r="K15" s="6" t="s">
        <v>24</v>
      </c>
      <c r="L15" s="8" t="s">
        <v>25</v>
      </c>
      <c r="M15" s="8" t="s">
        <v>26</v>
      </c>
      <c r="N15" s="8" t="s">
        <v>27</v>
      </c>
      <c r="O15" s="8" t="s">
        <v>28</v>
      </c>
      <c r="P15" s="8" t="s">
        <v>29</v>
      </c>
    </row>
    <row r="16" customFormat="false" ht="15" hidden="false" customHeight="true" outlineLevel="0" collapsed="false">
      <c r="A16" s="3" t="s">
        <v>30</v>
      </c>
      <c r="B16" s="3" t="s">
        <v>31</v>
      </c>
      <c r="C16" s="3" t="s">
        <v>32</v>
      </c>
      <c r="D16" s="3" t="s">
        <v>33</v>
      </c>
      <c r="E16" s="3" t="n">
        <v>25</v>
      </c>
      <c r="F16" s="3" t="n">
        <f aca="false">E16*$D11</f>
        <v>1596.25</v>
      </c>
      <c r="G16" s="3" t="n">
        <f aca="false">F16/52</f>
        <v>30.6971153846154</v>
      </c>
      <c r="H16" s="3" t="n">
        <v>20</v>
      </c>
      <c r="I16" s="3" t="n">
        <f aca="false">F16*H16</f>
        <v>31925</v>
      </c>
      <c r="J16" s="3" t="n">
        <f aca="false">I16/12</f>
        <v>2660.41666666667</v>
      </c>
      <c r="K16" s="1" t="n">
        <f aca="false">I16/$B$11</f>
        <v>425.666666666667</v>
      </c>
      <c r="L16" s="0" t="n">
        <f aca="false">$E16*$D$6</f>
        <v>20</v>
      </c>
      <c r="M16" s="0" t="n">
        <f aca="false">$E16*$D$7</f>
        <v>112.5</v>
      </c>
      <c r="N16" s="0" t="n">
        <f aca="false">$E16*$D$8</f>
        <v>168.75</v>
      </c>
      <c r="O16" s="0" t="n">
        <f aca="false">$E16*$D$9</f>
        <v>1125</v>
      </c>
      <c r="P16" s="0" t="n">
        <f aca="false">$E16*$D$10</f>
        <v>170</v>
      </c>
    </row>
    <row r="17" customFormat="false" ht="15" hidden="false" customHeight="true" outlineLevel="0" collapsed="false">
      <c r="A17" s="3" t="s">
        <v>34</v>
      </c>
      <c r="B17" s="3" t="s">
        <v>31</v>
      </c>
      <c r="C17" s="3" t="s">
        <v>35</v>
      </c>
      <c r="D17" s="3" t="s">
        <v>33</v>
      </c>
      <c r="E17" s="3" t="n">
        <v>8</v>
      </c>
      <c r="F17" s="3" t="n">
        <f aca="false">E17*$D11</f>
        <v>510.8</v>
      </c>
      <c r="G17" s="3" t="n">
        <f aca="false">F17/52</f>
        <v>9.82307692307692</v>
      </c>
      <c r="H17" s="3" t="n">
        <v>20</v>
      </c>
      <c r="I17" s="3" t="n">
        <f aca="false">F17*H17</f>
        <v>10216</v>
      </c>
      <c r="J17" s="3" t="n">
        <f aca="false">I17/12</f>
        <v>851.333333333333</v>
      </c>
      <c r="K17" s="1" t="n">
        <f aca="false">I17/$B$11</f>
        <v>136.213333333333</v>
      </c>
      <c r="L17" s="0" t="n">
        <f aca="false">$E17*$D$6</f>
        <v>6.4</v>
      </c>
      <c r="M17" s="0" t="n">
        <f aca="false">$E17*$D$7</f>
        <v>36</v>
      </c>
      <c r="N17" s="0" t="n">
        <f aca="false">$E17*$D$8</f>
        <v>54</v>
      </c>
      <c r="O17" s="0" t="n">
        <f aca="false">$E17*$D$9</f>
        <v>360</v>
      </c>
      <c r="P17" s="0" t="n">
        <f aca="false">$E17*$D$10</f>
        <v>54.4</v>
      </c>
    </row>
    <row r="18" customFormat="false" ht="15" hidden="false" customHeight="true" outlineLevel="0" collapsed="false">
      <c r="A18" s="3" t="s">
        <v>36</v>
      </c>
      <c r="B18" s="3" t="s">
        <v>31</v>
      </c>
      <c r="C18" s="3" t="s">
        <v>37</v>
      </c>
      <c r="D18" s="3" t="s">
        <v>33</v>
      </c>
      <c r="E18" s="3" t="n">
        <v>6</v>
      </c>
      <c r="F18" s="3" t="n">
        <f aca="false">E18*$D11</f>
        <v>383.1</v>
      </c>
      <c r="G18" s="3" t="n">
        <f aca="false">F18/52</f>
        <v>7.36730769230769</v>
      </c>
      <c r="H18" s="3" t="n">
        <v>20</v>
      </c>
      <c r="I18" s="3" t="n">
        <f aca="false">F18*H18</f>
        <v>7662</v>
      </c>
      <c r="J18" s="3" t="n">
        <f aca="false">I18/12</f>
        <v>638.5</v>
      </c>
      <c r="K18" s="1" t="n">
        <f aca="false">I18/$B$11</f>
        <v>102.16</v>
      </c>
      <c r="L18" s="0" t="n">
        <f aca="false">$E18*$D$6</f>
        <v>4.8</v>
      </c>
      <c r="M18" s="0" t="n">
        <f aca="false">$E18*$D$7</f>
        <v>27</v>
      </c>
      <c r="N18" s="0" t="n">
        <f aca="false">$E18*$D$8</f>
        <v>40.5</v>
      </c>
      <c r="O18" s="0" t="n">
        <f aca="false">$E18*$D$9</f>
        <v>270</v>
      </c>
      <c r="P18" s="0" t="n">
        <f aca="false">$E18*$D$10</f>
        <v>40.8</v>
      </c>
    </row>
    <row r="19" customFormat="false" ht="15" hidden="false" customHeight="true" outlineLevel="0" collapsed="false">
      <c r="A19" s="3" t="s">
        <v>38</v>
      </c>
      <c r="B19" s="3" t="s">
        <v>31</v>
      </c>
      <c r="C19" s="3" t="s">
        <v>39</v>
      </c>
      <c r="D19" s="3" t="s">
        <v>33</v>
      </c>
      <c r="E19" s="3" t="n">
        <v>4</v>
      </c>
      <c r="F19" s="3" t="n">
        <f aca="false">E19*$D11</f>
        <v>255.4</v>
      </c>
      <c r="G19" s="3" t="n">
        <f aca="false">F19/52</f>
        <v>4.91153846153846</v>
      </c>
      <c r="H19" s="3" t="n">
        <v>15</v>
      </c>
      <c r="I19" s="3" t="n">
        <f aca="false">F19*H19</f>
        <v>3831</v>
      </c>
      <c r="J19" s="3" t="n">
        <f aca="false">I19/12</f>
        <v>319.25</v>
      </c>
      <c r="K19" s="1" t="n">
        <f aca="false">I19/$B$11</f>
        <v>51.08</v>
      </c>
      <c r="L19" s="0" t="n">
        <f aca="false">$E19*$D$6</f>
        <v>3.2</v>
      </c>
      <c r="M19" s="0" t="n">
        <f aca="false">$E19*$D$7</f>
        <v>18</v>
      </c>
      <c r="N19" s="0" t="n">
        <f aca="false">$E19*$D$8</f>
        <v>27</v>
      </c>
      <c r="O19" s="0" t="n">
        <f aca="false">$E19*$D$9</f>
        <v>180</v>
      </c>
      <c r="P19" s="0" t="n">
        <f aca="false">$E19*$D$10</f>
        <v>27.2</v>
      </c>
    </row>
    <row r="20" customFormat="false" ht="15" hidden="false" customHeight="true" outlineLevel="0" collapsed="false">
      <c r="A20" s="3" t="s">
        <v>40</v>
      </c>
      <c r="B20" s="3" t="s">
        <v>31</v>
      </c>
      <c r="C20" s="3" t="s">
        <v>41</v>
      </c>
      <c r="D20" s="3" t="s">
        <v>33</v>
      </c>
      <c r="E20" s="3" t="n">
        <v>10</v>
      </c>
      <c r="F20" s="3" t="n">
        <f aca="false">E20*$D11</f>
        <v>638.5</v>
      </c>
      <c r="G20" s="3" t="n">
        <f aca="false">F20/52</f>
        <v>12.2788461538462</v>
      </c>
      <c r="H20" s="3" t="n">
        <v>50</v>
      </c>
      <c r="I20" s="3" t="n">
        <f aca="false">F20*H20</f>
        <v>31925</v>
      </c>
      <c r="J20" s="3" t="n">
        <f aca="false">I20/12</f>
        <v>2660.41666666667</v>
      </c>
      <c r="K20" s="1" t="n">
        <f aca="false">I20/$B$11</f>
        <v>425.666666666667</v>
      </c>
      <c r="L20" s="0" t="n">
        <f aca="false">$E20*$D$6</f>
        <v>8</v>
      </c>
      <c r="M20" s="0" t="n">
        <f aca="false">$E20*$D$7</f>
        <v>45</v>
      </c>
      <c r="N20" s="0" t="n">
        <f aca="false">$E20*$D$8</f>
        <v>67.5</v>
      </c>
      <c r="O20" s="0" t="n">
        <f aca="false">$E20*$D$9</f>
        <v>450</v>
      </c>
      <c r="P20" s="0" t="n">
        <f aca="false">$E20*$D$10</f>
        <v>68</v>
      </c>
    </row>
    <row r="21" customFormat="false" ht="15" hidden="false" customHeight="true" outlineLevel="0" collapsed="false">
      <c r="A21" s="3" t="s">
        <v>42</v>
      </c>
      <c r="B21" s="3" t="s">
        <v>43</v>
      </c>
      <c r="C21" s="3" t="s">
        <v>44</v>
      </c>
      <c r="D21" s="3" t="s">
        <v>33</v>
      </c>
      <c r="E21" s="3" t="n">
        <v>12</v>
      </c>
      <c r="F21" s="3" t="n">
        <f aca="false">E21*$D11</f>
        <v>766.2</v>
      </c>
      <c r="G21" s="3" t="n">
        <f aca="false">F21/52</f>
        <v>14.7346153846154</v>
      </c>
      <c r="H21" s="3" t="n">
        <v>27</v>
      </c>
      <c r="I21" s="3" t="n">
        <f aca="false">F21*H21</f>
        <v>20687.4</v>
      </c>
      <c r="J21" s="3" t="n">
        <f aca="false">I21/12</f>
        <v>1723.95</v>
      </c>
      <c r="K21" s="1" t="n">
        <f aca="false">I21/$B$11</f>
        <v>275.832</v>
      </c>
      <c r="L21" s="0" t="n">
        <f aca="false">$E21*$D$6</f>
        <v>9.6</v>
      </c>
      <c r="M21" s="0" t="n">
        <f aca="false">$E21*$D$7</f>
        <v>54</v>
      </c>
      <c r="N21" s="0" t="n">
        <f aca="false">$E21*$D$8</f>
        <v>81</v>
      </c>
      <c r="O21" s="0" t="n">
        <f aca="false">$E21*$D$9</f>
        <v>540</v>
      </c>
      <c r="P21" s="0" t="n">
        <f aca="false">$E21*$D$10</f>
        <v>81.6</v>
      </c>
    </row>
    <row r="22" customFormat="false" ht="15" hidden="false" customHeight="true" outlineLevel="0" collapsed="false">
      <c r="A22" s="3" t="s">
        <v>45</v>
      </c>
      <c r="B22" s="3" t="s">
        <v>43</v>
      </c>
      <c r="C22" s="3" t="s">
        <v>46</v>
      </c>
      <c r="D22" s="3" t="s">
        <v>33</v>
      </c>
      <c r="E22" s="3" t="n">
        <v>3</v>
      </c>
      <c r="F22" s="3" t="n">
        <f aca="false">E22*$D11</f>
        <v>191.55</v>
      </c>
      <c r="G22" s="3" t="n">
        <f aca="false">F22/52</f>
        <v>3.68365384615385</v>
      </c>
      <c r="H22" s="3" t="n">
        <v>29</v>
      </c>
      <c r="I22" s="3" t="n">
        <f aca="false">F22*H22</f>
        <v>5554.95</v>
      </c>
      <c r="J22" s="3" t="n">
        <f aca="false">I22/12</f>
        <v>462.9125</v>
      </c>
      <c r="K22" s="1" t="n">
        <f aca="false">I22/$B$11</f>
        <v>74.066</v>
      </c>
      <c r="L22" s="0" t="n">
        <f aca="false">$E22*$D$6</f>
        <v>2.4</v>
      </c>
      <c r="M22" s="0" t="n">
        <f aca="false">$E22*$D$7</f>
        <v>13.5</v>
      </c>
      <c r="N22" s="0" t="n">
        <f aca="false">$E22*$D$8</f>
        <v>20.25</v>
      </c>
      <c r="O22" s="0" t="n">
        <f aca="false">$E22*$D$9</f>
        <v>135</v>
      </c>
      <c r="P22" s="0" t="n">
        <f aca="false">$E22*$D$10</f>
        <v>20.4</v>
      </c>
    </row>
    <row r="23" customFormat="false" ht="15" hidden="false" customHeight="true" outlineLevel="0" collapsed="false">
      <c r="A23" s="3" t="s">
        <v>47</v>
      </c>
      <c r="B23" s="3" t="s">
        <v>43</v>
      </c>
      <c r="C23" s="3" t="s">
        <v>48</v>
      </c>
      <c r="D23" s="3" t="s">
        <v>33</v>
      </c>
      <c r="E23" s="3" t="n">
        <v>3</v>
      </c>
      <c r="F23" s="3" t="n">
        <f aca="false">E23*$D11</f>
        <v>191.55</v>
      </c>
      <c r="G23" s="3" t="n">
        <f aca="false">F23/52</f>
        <v>3.68365384615385</v>
      </c>
      <c r="H23" s="3" t="n">
        <v>77</v>
      </c>
      <c r="I23" s="3" t="n">
        <f aca="false">F23*H23</f>
        <v>14749.35</v>
      </c>
      <c r="J23" s="3" t="n">
        <f aca="false">I23/12</f>
        <v>1229.1125</v>
      </c>
      <c r="K23" s="1" t="n">
        <f aca="false">I23/$B$11</f>
        <v>196.658</v>
      </c>
      <c r="L23" s="0" t="n">
        <f aca="false">$E23*$D$6</f>
        <v>2.4</v>
      </c>
      <c r="M23" s="0" t="n">
        <f aca="false">$E23*$D$7</f>
        <v>13.5</v>
      </c>
      <c r="N23" s="0" t="n">
        <f aca="false">$E23*$D$8</f>
        <v>20.25</v>
      </c>
      <c r="O23" s="0" t="n">
        <f aca="false">$E23*$D$9</f>
        <v>135</v>
      </c>
      <c r="P23" s="0" t="n">
        <f aca="false">$E23*$D$10</f>
        <v>20.4</v>
      </c>
    </row>
    <row r="24" customFormat="false" ht="15" hidden="false" customHeight="true" outlineLevel="0" collapsed="false">
      <c r="A24" s="3" t="s">
        <v>49</v>
      </c>
      <c r="B24" s="3" t="s">
        <v>43</v>
      </c>
      <c r="C24" s="3" t="s">
        <v>50</v>
      </c>
      <c r="D24" s="3" t="s">
        <v>33</v>
      </c>
      <c r="E24" s="3" t="n">
        <v>1.5</v>
      </c>
      <c r="F24" s="3" t="n">
        <f aca="false">E24*$D11</f>
        <v>95.775</v>
      </c>
      <c r="G24" s="3" t="n">
        <f aca="false">F24/52</f>
        <v>1.84182692307692</v>
      </c>
      <c r="H24" s="3" t="n">
        <v>54</v>
      </c>
      <c r="I24" s="3" t="n">
        <f aca="false">F24*H24</f>
        <v>5171.85</v>
      </c>
      <c r="J24" s="3" t="n">
        <f aca="false">I24/12</f>
        <v>430.9875</v>
      </c>
      <c r="K24" s="1" t="n">
        <f aca="false">I24/$B$11</f>
        <v>68.958</v>
      </c>
      <c r="L24" s="0" t="n">
        <f aca="false">$E24*$D$6</f>
        <v>1.2</v>
      </c>
      <c r="M24" s="0" t="n">
        <f aca="false">$E24*$D$7</f>
        <v>6.75</v>
      </c>
      <c r="N24" s="0" t="n">
        <f aca="false">$E24*$D$8</f>
        <v>10.125</v>
      </c>
      <c r="O24" s="0" t="n">
        <f aca="false">$E24*$D$9</f>
        <v>67.5</v>
      </c>
      <c r="P24" s="0" t="n">
        <f aca="false">$E24*$D$10</f>
        <v>10.2</v>
      </c>
    </row>
    <row r="25" customFormat="false" ht="15" hidden="false" customHeight="true" outlineLevel="0" collapsed="false">
      <c r="A25" s="3" t="s">
        <v>51</v>
      </c>
      <c r="B25" s="3" t="s">
        <v>52</v>
      </c>
      <c r="C25" s="3" t="s">
        <v>53</v>
      </c>
      <c r="D25" s="3" t="s">
        <v>33</v>
      </c>
      <c r="E25" s="3" t="n">
        <v>1</v>
      </c>
      <c r="F25" s="3" t="n">
        <f aca="false">E25*$D11</f>
        <v>63.85</v>
      </c>
      <c r="G25" s="3" t="n">
        <f aca="false">F25/52</f>
        <v>1.22788461538462</v>
      </c>
      <c r="H25" s="3" t="n">
        <v>33</v>
      </c>
      <c r="I25" s="3" t="n">
        <f aca="false">F25*H25</f>
        <v>2107.05</v>
      </c>
      <c r="J25" s="3" t="n">
        <f aca="false">I25/12</f>
        <v>175.5875</v>
      </c>
      <c r="K25" s="1" t="n">
        <f aca="false">I25/$B$11</f>
        <v>28.094</v>
      </c>
      <c r="L25" s="0" t="n">
        <f aca="false">$E25*$D$6</f>
        <v>0.8</v>
      </c>
      <c r="M25" s="0" t="n">
        <f aca="false">$E25*$D$7</f>
        <v>4.5</v>
      </c>
      <c r="N25" s="0" t="n">
        <f aca="false">$E25*$D$8</f>
        <v>6.75</v>
      </c>
      <c r="O25" s="0" t="n">
        <f aca="false">$E25*$D$9</f>
        <v>45</v>
      </c>
      <c r="P25" s="0" t="n">
        <f aca="false">$E25*$D$10</f>
        <v>6.8</v>
      </c>
    </row>
    <row r="26" customFormat="false" ht="15" hidden="false" customHeight="true" outlineLevel="0" collapsed="false">
      <c r="A26" s="3" t="s">
        <v>54</v>
      </c>
      <c r="B26" s="3" t="s">
        <v>52</v>
      </c>
      <c r="C26" s="3" t="s">
        <v>55</v>
      </c>
      <c r="D26" s="3" t="s">
        <v>33</v>
      </c>
      <c r="E26" s="3" t="n">
        <v>1</v>
      </c>
      <c r="F26" s="3" t="n">
        <f aca="false">E26*$D11</f>
        <v>63.85</v>
      </c>
      <c r="G26" s="3" t="n">
        <f aca="false">F26/52</f>
        <v>1.22788461538462</v>
      </c>
      <c r="H26" s="3" t="n">
        <v>45</v>
      </c>
      <c r="I26" s="3" t="n">
        <f aca="false">F26*H26</f>
        <v>2873.25</v>
      </c>
      <c r="J26" s="3" t="n">
        <f aca="false">I26/12</f>
        <v>239.4375</v>
      </c>
      <c r="K26" s="1" t="n">
        <f aca="false">I26/$B$11</f>
        <v>38.31</v>
      </c>
      <c r="L26" s="0" t="n">
        <f aca="false">$E26*$D$6</f>
        <v>0.8</v>
      </c>
      <c r="M26" s="0" t="n">
        <f aca="false">$E26*$D$7</f>
        <v>4.5</v>
      </c>
      <c r="N26" s="0" t="n">
        <f aca="false">$E26*$D$8</f>
        <v>6.75</v>
      </c>
      <c r="O26" s="0" t="n">
        <f aca="false">$E26*$D$9</f>
        <v>45</v>
      </c>
      <c r="P26" s="0" t="n">
        <f aca="false">$E26*$D$10</f>
        <v>6.8</v>
      </c>
    </row>
    <row r="27" customFormat="false" ht="15" hidden="false" customHeight="true" outlineLevel="0" collapsed="false">
      <c r="A27" s="3" t="s">
        <v>56</v>
      </c>
      <c r="B27" s="3" t="s">
        <v>52</v>
      </c>
      <c r="C27" s="3" t="s">
        <v>57</v>
      </c>
      <c r="D27" s="3" t="s">
        <v>33</v>
      </c>
      <c r="E27" s="3" t="n">
        <v>0.5</v>
      </c>
      <c r="F27" s="3" t="n">
        <f aca="false">E27*$D11</f>
        <v>31.925</v>
      </c>
      <c r="G27" s="3" t="n">
        <f aca="false">F27/52</f>
        <v>0.613942307692308</v>
      </c>
      <c r="H27" s="3" t="n">
        <v>38</v>
      </c>
      <c r="I27" s="3" t="n">
        <f aca="false">F27*H27</f>
        <v>1213.15</v>
      </c>
      <c r="J27" s="3" t="n">
        <f aca="false">I27/12</f>
        <v>101.095833333333</v>
      </c>
      <c r="K27" s="1" t="n">
        <f aca="false">I27/$B$11</f>
        <v>16.1753333333333</v>
      </c>
      <c r="L27" s="0" t="n">
        <f aca="false">$E27*$D$6</f>
        <v>0.4</v>
      </c>
      <c r="M27" s="0" t="n">
        <f aca="false">$E27*$D$7</f>
        <v>2.25</v>
      </c>
      <c r="N27" s="0" t="n">
        <f aca="false">$E27*$D$8</f>
        <v>3.375</v>
      </c>
      <c r="O27" s="0" t="n">
        <f aca="false">$E27*$D$9</f>
        <v>22.5</v>
      </c>
      <c r="P27" s="0" t="n">
        <f aca="false">$E27*$D$10</f>
        <v>3.4</v>
      </c>
    </row>
    <row r="28" customFormat="false" ht="15" hidden="false" customHeight="true" outlineLevel="0" collapsed="false">
      <c r="A28" s="3" t="s">
        <v>58</v>
      </c>
      <c r="B28" s="3" t="s">
        <v>59</v>
      </c>
      <c r="C28" s="3" t="s">
        <v>60</v>
      </c>
      <c r="D28" s="3" t="s">
        <v>33</v>
      </c>
      <c r="E28" s="3" t="n">
        <v>8</v>
      </c>
      <c r="F28" s="3" t="n">
        <f aca="false">E28*$D11</f>
        <v>510.8</v>
      </c>
      <c r="G28" s="3" t="n">
        <f aca="false">F28/52</f>
        <v>9.82307692307692</v>
      </c>
      <c r="H28" s="3" t="n">
        <v>31</v>
      </c>
      <c r="I28" s="3" t="n">
        <f aca="false">F28*H28</f>
        <v>15834.8</v>
      </c>
      <c r="J28" s="3" t="n">
        <f aca="false">I28/12</f>
        <v>1319.56666666667</v>
      </c>
      <c r="K28" s="1" t="n">
        <f aca="false">I28/$B$11</f>
        <v>211.130666666667</v>
      </c>
      <c r="L28" s="0" t="n">
        <f aca="false">$E28*$D$6</f>
        <v>6.4</v>
      </c>
      <c r="M28" s="0" t="n">
        <f aca="false">$E28*$D$7</f>
        <v>36</v>
      </c>
      <c r="N28" s="0" t="n">
        <f aca="false">$E28*$D$8</f>
        <v>54</v>
      </c>
      <c r="O28" s="0" t="n">
        <f aca="false">$E28*$D$9</f>
        <v>360</v>
      </c>
      <c r="P28" s="0" t="n">
        <f aca="false">$E28*$D$10</f>
        <v>54.4</v>
      </c>
    </row>
    <row r="29" customFormat="false" ht="15" hidden="false" customHeight="true" outlineLevel="0" collapsed="false">
      <c r="A29" s="3" t="s">
        <v>61</v>
      </c>
      <c r="B29" s="3" t="s">
        <v>59</v>
      </c>
      <c r="C29" s="3" t="s">
        <v>62</v>
      </c>
      <c r="D29" s="3" t="s">
        <v>33</v>
      </c>
      <c r="E29" s="3" t="n">
        <v>3</v>
      </c>
      <c r="F29" s="3" t="n">
        <f aca="false">E29*$D11</f>
        <v>191.55</v>
      </c>
      <c r="G29" s="3" t="n">
        <f aca="false">F29/52</f>
        <v>3.68365384615385</v>
      </c>
      <c r="H29" s="3" t="n">
        <v>27</v>
      </c>
      <c r="I29" s="3" t="n">
        <f aca="false">F29*H29</f>
        <v>5171.85</v>
      </c>
      <c r="J29" s="3" t="n">
        <f aca="false">I29/12</f>
        <v>430.9875</v>
      </c>
      <c r="K29" s="1" t="n">
        <f aca="false">I29/$B$11</f>
        <v>68.958</v>
      </c>
      <c r="L29" s="0" t="n">
        <f aca="false">$E29*$D$6</f>
        <v>2.4</v>
      </c>
      <c r="M29" s="0" t="n">
        <f aca="false">$E29*$D$7</f>
        <v>13.5</v>
      </c>
      <c r="N29" s="0" t="n">
        <f aca="false">$E29*$D$8</f>
        <v>20.25</v>
      </c>
      <c r="O29" s="0" t="n">
        <f aca="false">$E29*$D$9</f>
        <v>135</v>
      </c>
      <c r="P29" s="0" t="n">
        <f aca="false">$E29*$D$10</f>
        <v>20.4</v>
      </c>
    </row>
    <row r="30" customFormat="false" ht="15" hidden="false" customHeight="true" outlineLevel="0" collapsed="false">
      <c r="A30" s="3" t="s">
        <v>63</v>
      </c>
      <c r="B30" s="3" t="s">
        <v>59</v>
      </c>
      <c r="C30" s="3" t="s">
        <v>64</v>
      </c>
      <c r="D30" s="3" t="s">
        <v>33</v>
      </c>
      <c r="E30" s="3" t="n">
        <v>10</v>
      </c>
      <c r="F30" s="3" t="n">
        <f aca="false">E30*$D11</f>
        <v>638.5</v>
      </c>
      <c r="G30" s="3" t="n">
        <f aca="false">F30/52</f>
        <v>12.2788461538462</v>
      </c>
      <c r="H30" s="3" t="n">
        <v>22</v>
      </c>
      <c r="I30" s="3" t="n">
        <f aca="false">F30*H30</f>
        <v>14047</v>
      </c>
      <c r="J30" s="3" t="n">
        <f aca="false">I30/12</f>
        <v>1170.58333333333</v>
      </c>
      <c r="K30" s="1" t="n">
        <f aca="false">I30/$B$11</f>
        <v>187.293333333333</v>
      </c>
      <c r="L30" s="0" t="n">
        <f aca="false">$E30*$D$6</f>
        <v>8</v>
      </c>
      <c r="M30" s="0" t="n">
        <f aca="false">$E30*$D$7</f>
        <v>45</v>
      </c>
      <c r="N30" s="0" t="n">
        <f aca="false">$E30*$D$8</f>
        <v>67.5</v>
      </c>
      <c r="O30" s="0" t="n">
        <f aca="false">$E30*$D$9</f>
        <v>450</v>
      </c>
      <c r="P30" s="0" t="n">
        <f aca="false">$E30*$D$10</f>
        <v>68</v>
      </c>
    </row>
    <row r="31" customFormat="false" ht="15" hidden="false" customHeight="true" outlineLevel="0" collapsed="false">
      <c r="A31" s="3" t="s">
        <v>65</v>
      </c>
      <c r="B31" s="3" t="s">
        <v>59</v>
      </c>
      <c r="C31" s="3" t="s">
        <v>66</v>
      </c>
      <c r="D31" s="3" t="s">
        <v>33</v>
      </c>
      <c r="E31" s="3" t="n">
        <v>1</v>
      </c>
      <c r="F31" s="3" t="n">
        <f aca="false">E31*$D11</f>
        <v>63.85</v>
      </c>
      <c r="G31" s="3" t="n">
        <f aca="false">F31/52</f>
        <v>1.22788461538462</v>
      </c>
      <c r="H31" s="3" t="n">
        <v>22</v>
      </c>
      <c r="I31" s="3" t="n">
        <f aca="false">F31*H31</f>
        <v>1404.7</v>
      </c>
      <c r="J31" s="3" t="n">
        <f aca="false">I31/12</f>
        <v>117.058333333333</v>
      </c>
      <c r="K31" s="1" t="n">
        <f aca="false">I31/$B$11</f>
        <v>18.7293333333333</v>
      </c>
      <c r="L31" s="0" t="n">
        <f aca="false">$E31*$D$6</f>
        <v>0.8</v>
      </c>
      <c r="M31" s="0" t="n">
        <f aca="false">$E31*$D$7</f>
        <v>4.5</v>
      </c>
      <c r="N31" s="0" t="n">
        <f aca="false">$E31*$D$8</f>
        <v>6.75</v>
      </c>
      <c r="O31" s="0" t="n">
        <f aca="false">$E31*$D$9</f>
        <v>45</v>
      </c>
      <c r="P31" s="0" t="n">
        <f aca="false">$E31*$D$10</f>
        <v>6.8</v>
      </c>
    </row>
    <row r="32" customFormat="false" ht="15" hidden="false" customHeight="true" outlineLevel="0" collapsed="false">
      <c r="A32" s="3" t="s">
        <v>67</v>
      </c>
      <c r="B32" s="3" t="s">
        <v>68</v>
      </c>
      <c r="C32" s="3" t="s">
        <v>69</v>
      </c>
      <c r="D32" s="3" t="s">
        <v>33</v>
      </c>
      <c r="E32" s="3" t="n">
        <v>8</v>
      </c>
      <c r="F32" s="3" t="n">
        <f aca="false">E32*$D11</f>
        <v>510.8</v>
      </c>
      <c r="G32" s="3" t="n">
        <f aca="false">F32/52</f>
        <v>9.82307692307692</v>
      </c>
      <c r="H32" s="3" t="n">
        <v>108</v>
      </c>
      <c r="I32" s="3" t="n">
        <f aca="false">F32*H32</f>
        <v>55166.4</v>
      </c>
      <c r="J32" s="3" t="n">
        <f aca="false">I32/12</f>
        <v>4597.2</v>
      </c>
      <c r="K32" s="1" t="n">
        <f aca="false">I32/$B$11</f>
        <v>735.552</v>
      </c>
      <c r="L32" s="0" t="n">
        <f aca="false">$E32*$D$6</f>
        <v>6.4</v>
      </c>
      <c r="M32" s="0" t="n">
        <f aca="false">$E32*$D$7</f>
        <v>36</v>
      </c>
      <c r="N32" s="0" t="n">
        <f aca="false">$E32*$D$8</f>
        <v>54</v>
      </c>
      <c r="O32" s="0" t="n">
        <f aca="false">$E32*$D$9</f>
        <v>360</v>
      </c>
      <c r="P32" s="0" t="n">
        <f aca="false">$E32*$D$10</f>
        <v>54.4</v>
      </c>
    </row>
    <row r="33" customFormat="false" ht="15" hidden="false" customHeight="true" outlineLevel="0" collapsed="false">
      <c r="A33" s="3" t="s">
        <v>70</v>
      </c>
      <c r="B33" s="3" t="s">
        <v>68</v>
      </c>
      <c r="C33" s="3" t="s">
        <v>71</v>
      </c>
      <c r="D33" s="3" t="s">
        <v>33</v>
      </c>
      <c r="E33" s="3" t="n">
        <v>6</v>
      </c>
      <c r="F33" s="3" t="n">
        <f aca="false">E33*$D11</f>
        <v>383.1</v>
      </c>
      <c r="G33" s="3" t="n">
        <f aca="false">F33/52</f>
        <v>7.36730769230769</v>
      </c>
      <c r="H33" s="3" t="n">
        <v>113</v>
      </c>
      <c r="I33" s="3" t="n">
        <f aca="false">F33*H33</f>
        <v>43290.3</v>
      </c>
      <c r="J33" s="3" t="n">
        <f aca="false">I33/12</f>
        <v>3607.525</v>
      </c>
      <c r="K33" s="1" t="n">
        <f aca="false">I33/$B$11</f>
        <v>577.204</v>
      </c>
      <c r="L33" s="0" t="n">
        <f aca="false">$E33*$D$6</f>
        <v>4.8</v>
      </c>
      <c r="M33" s="0" t="n">
        <f aca="false">$E33*$D$7</f>
        <v>27</v>
      </c>
      <c r="N33" s="0" t="n">
        <f aca="false">$E33*$D$8</f>
        <v>40.5</v>
      </c>
      <c r="O33" s="0" t="n">
        <f aca="false">$E33*$D$9</f>
        <v>270</v>
      </c>
      <c r="P33" s="0" t="n">
        <f aca="false">$E33*$D$10</f>
        <v>40.8</v>
      </c>
    </row>
    <row r="34" customFormat="false" ht="15" hidden="false" customHeight="true" outlineLevel="0" collapsed="false">
      <c r="A34" s="3" t="s">
        <v>72</v>
      </c>
      <c r="B34" s="3" t="s">
        <v>68</v>
      </c>
      <c r="C34" s="3" t="s">
        <v>73</v>
      </c>
      <c r="D34" s="3" t="s">
        <v>33</v>
      </c>
      <c r="E34" s="3" t="n">
        <v>10</v>
      </c>
      <c r="F34" s="3" t="n">
        <f aca="false">E34*$D11</f>
        <v>638.5</v>
      </c>
      <c r="G34" s="3" t="n">
        <f aca="false">F34/52</f>
        <v>12.2788461538462</v>
      </c>
      <c r="H34" s="3" t="n">
        <v>140</v>
      </c>
      <c r="I34" s="3" t="n">
        <f aca="false">F34*H34</f>
        <v>89390</v>
      </c>
      <c r="J34" s="3" t="n">
        <f aca="false">I34/12</f>
        <v>7449.16666666667</v>
      </c>
      <c r="K34" s="1" t="n">
        <f aca="false">I34/$B$11</f>
        <v>1191.86666666667</v>
      </c>
      <c r="L34" s="0" t="n">
        <f aca="false">$E34*$D$6</f>
        <v>8</v>
      </c>
      <c r="M34" s="0" t="n">
        <f aca="false">$E34*$D$7</f>
        <v>45</v>
      </c>
      <c r="N34" s="0" t="n">
        <f aca="false">$E34*$D$8</f>
        <v>67.5</v>
      </c>
      <c r="O34" s="0" t="n">
        <f aca="false">$E34*$D$9</f>
        <v>450</v>
      </c>
      <c r="P34" s="0" t="n">
        <f aca="false">$E34*$D$10</f>
        <v>68</v>
      </c>
    </row>
    <row r="35" customFormat="false" ht="15" hidden="false" customHeight="true" outlineLevel="0" collapsed="false">
      <c r="A35" s="3" t="s">
        <v>74</v>
      </c>
      <c r="B35" s="3" t="s">
        <v>68</v>
      </c>
      <c r="C35" s="3" t="s">
        <v>75</v>
      </c>
      <c r="D35" s="3" t="s">
        <v>33</v>
      </c>
      <c r="E35" s="3" t="n">
        <v>1.5</v>
      </c>
      <c r="F35" s="3" t="n">
        <f aca="false">E35*$D11</f>
        <v>95.775</v>
      </c>
      <c r="G35" s="3" t="n">
        <f aca="false">F35/52</f>
        <v>1.84182692307692</v>
      </c>
      <c r="H35" s="3" t="n">
        <v>194</v>
      </c>
      <c r="I35" s="3" t="n">
        <f aca="false">F35*H35</f>
        <v>18580.35</v>
      </c>
      <c r="J35" s="3" t="n">
        <f aca="false">I35/12</f>
        <v>1548.3625</v>
      </c>
      <c r="K35" s="1" t="n">
        <f aca="false">I35/$B$11</f>
        <v>247.738</v>
      </c>
      <c r="L35" s="0" t="n">
        <f aca="false">$E35*$D$6</f>
        <v>1.2</v>
      </c>
      <c r="M35" s="0" t="n">
        <f aca="false">$E35*$D$7</f>
        <v>6.75</v>
      </c>
      <c r="N35" s="0" t="n">
        <f aca="false">$E35*$D$8</f>
        <v>10.125</v>
      </c>
      <c r="O35" s="0" t="n">
        <f aca="false">$E35*$D$9</f>
        <v>67.5</v>
      </c>
      <c r="P35" s="0" t="n">
        <f aca="false">$E35*$D$10</f>
        <v>10.2</v>
      </c>
    </row>
    <row r="36" customFormat="false" ht="15" hidden="false" customHeight="true" outlineLevel="0" collapsed="false">
      <c r="A36" s="3" t="s">
        <v>76</v>
      </c>
      <c r="B36" s="3" t="s">
        <v>77</v>
      </c>
      <c r="C36" s="3" t="s">
        <v>78</v>
      </c>
      <c r="D36" s="3" t="s">
        <v>33</v>
      </c>
      <c r="E36" s="3" t="n">
        <v>4</v>
      </c>
      <c r="F36" s="3" t="n">
        <f aca="false">E36*$D11</f>
        <v>255.4</v>
      </c>
      <c r="G36" s="3" t="n">
        <f aca="false">F36/52</f>
        <v>4.91153846153846</v>
      </c>
      <c r="H36" s="3" t="n">
        <v>158</v>
      </c>
      <c r="I36" s="3" t="n">
        <f aca="false">F36*H36</f>
        <v>40353.2</v>
      </c>
      <c r="J36" s="3" t="n">
        <f aca="false">I36/12</f>
        <v>3362.76666666667</v>
      </c>
      <c r="K36" s="1" t="n">
        <f aca="false">I36/$B$11</f>
        <v>538.042666666667</v>
      </c>
      <c r="L36" s="0" t="n">
        <f aca="false">$E36*$D$6</f>
        <v>3.2</v>
      </c>
      <c r="M36" s="0" t="n">
        <f aca="false">$E36*$D$7</f>
        <v>18</v>
      </c>
      <c r="N36" s="0" t="n">
        <f aca="false">$E36*$D$8</f>
        <v>27</v>
      </c>
      <c r="O36" s="0" t="n">
        <f aca="false">$E36*$D$9</f>
        <v>180</v>
      </c>
      <c r="P36" s="0" t="n">
        <f aca="false">$E36*$D$10</f>
        <v>27.2</v>
      </c>
    </row>
    <row r="37" customFormat="false" ht="15" hidden="false" customHeight="true" outlineLevel="0" collapsed="false">
      <c r="A37" s="3" t="s">
        <v>79</v>
      </c>
      <c r="B37" s="3" t="s">
        <v>77</v>
      </c>
      <c r="C37" s="3" t="s">
        <v>80</v>
      </c>
      <c r="D37" s="3" t="s">
        <v>33</v>
      </c>
      <c r="E37" s="3" t="n">
        <v>2</v>
      </c>
      <c r="F37" s="3" t="n">
        <f aca="false">E37*$D11</f>
        <v>127.7</v>
      </c>
      <c r="G37" s="3" t="n">
        <f aca="false">F37/52</f>
        <v>2.45576923076923</v>
      </c>
      <c r="H37" s="3" t="n">
        <v>50</v>
      </c>
      <c r="I37" s="3" t="n">
        <f aca="false">F37*H37</f>
        <v>6385</v>
      </c>
      <c r="J37" s="3" t="n">
        <f aca="false">I37/12</f>
        <v>532.083333333333</v>
      </c>
      <c r="K37" s="1" t="n">
        <f aca="false">I37/$B$11</f>
        <v>85.1333333333333</v>
      </c>
      <c r="L37" s="0" t="n">
        <f aca="false">$E37*$D$6</f>
        <v>1.6</v>
      </c>
      <c r="M37" s="0" t="n">
        <f aca="false">$E37*$D$7</f>
        <v>9</v>
      </c>
      <c r="N37" s="0" t="n">
        <f aca="false">$E37*$D$8</f>
        <v>13.5</v>
      </c>
      <c r="O37" s="0" t="n">
        <f aca="false">$E37*$D$9</f>
        <v>90</v>
      </c>
      <c r="P37" s="0" t="n">
        <f aca="false">$E37*$D$10</f>
        <v>13.6</v>
      </c>
    </row>
    <row r="38" customFormat="false" ht="15" hidden="false" customHeight="true" outlineLevel="0" collapsed="false">
      <c r="A38" s="3" t="s">
        <v>81</v>
      </c>
      <c r="B38" s="3" t="s">
        <v>77</v>
      </c>
      <c r="C38" s="3" t="s">
        <v>82</v>
      </c>
      <c r="D38" s="3" t="s">
        <v>33</v>
      </c>
      <c r="E38" s="3" t="n">
        <v>1</v>
      </c>
      <c r="F38" s="3" t="n">
        <f aca="false">E38*$D11</f>
        <v>63.85</v>
      </c>
      <c r="G38" s="3" t="n">
        <f aca="false">F38/52</f>
        <v>1.22788461538462</v>
      </c>
      <c r="H38" s="3" t="n">
        <v>180</v>
      </c>
      <c r="I38" s="3" t="n">
        <f aca="false">F38*H38</f>
        <v>11493</v>
      </c>
      <c r="J38" s="3" t="n">
        <f aca="false">I38/12</f>
        <v>957.75</v>
      </c>
      <c r="K38" s="1" t="n">
        <f aca="false">I38/$B$11</f>
        <v>153.24</v>
      </c>
      <c r="L38" s="0" t="n">
        <f aca="false">$E38*$D$6</f>
        <v>0.8</v>
      </c>
      <c r="M38" s="0" t="n">
        <f aca="false">$E38*$D$7</f>
        <v>4.5</v>
      </c>
      <c r="N38" s="0" t="n">
        <f aca="false">$E38*$D$8</f>
        <v>6.75</v>
      </c>
      <c r="O38" s="0" t="n">
        <f aca="false">$E38*$D$9</f>
        <v>45</v>
      </c>
      <c r="P38" s="0" t="n">
        <f aca="false">$E38*$D$10</f>
        <v>6.8</v>
      </c>
    </row>
    <row r="39" customFormat="false" ht="15" hidden="false" customHeight="true" outlineLevel="0" collapsed="false">
      <c r="A39" s="3" t="s">
        <v>83</v>
      </c>
      <c r="B39" s="3" t="s">
        <v>84</v>
      </c>
      <c r="C39" s="3" t="s">
        <v>85</v>
      </c>
      <c r="D39" s="3" t="s">
        <v>86</v>
      </c>
      <c r="E39" s="3" t="n">
        <v>60</v>
      </c>
      <c r="F39" s="3" t="n">
        <f aca="false">E39*$D11</f>
        <v>3831</v>
      </c>
      <c r="G39" s="3" t="n">
        <f aca="false">F39/52</f>
        <v>73.6730769230769</v>
      </c>
      <c r="H39" s="3" t="n">
        <v>19</v>
      </c>
      <c r="I39" s="3" t="n">
        <f aca="false">F39*H39</f>
        <v>72789</v>
      </c>
      <c r="J39" s="3" t="n">
        <f aca="false">I39/12</f>
        <v>6065.75</v>
      </c>
      <c r="K39" s="1" t="n">
        <f aca="false">I39/$B$11</f>
        <v>970.52</v>
      </c>
      <c r="L39" s="0" t="n">
        <f aca="false">$E39*$D$6</f>
        <v>48</v>
      </c>
      <c r="M39" s="0" t="n">
        <f aca="false">$E39*$D$7</f>
        <v>270</v>
      </c>
      <c r="N39" s="0" t="n">
        <f aca="false">$E39*$D$8</f>
        <v>405</v>
      </c>
      <c r="O39" s="0" t="n">
        <f aca="false">$E39*$D$9</f>
        <v>2700</v>
      </c>
      <c r="P39" s="0" t="n">
        <f aca="false">$E39*$D$10</f>
        <v>408</v>
      </c>
    </row>
    <row r="40" customFormat="false" ht="15" hidden="false" customHeight="true" outlineLevel="0" collapsed="false">
      <c r="A40" s="3" t="s">
        <v>87</v>
      </c>
      <c r="B40" s="3" t="s">
        <v>84</v>
      </c>
      <c r="C40" s="3" t="s">
        <v>88</v>
      </c>
      <c r="D40" s="3" t="s">
        <v>33</v>
      </c>
      <c r="E40" s="3" t="n">
        <v>3</v>
      </c>
      <c r="F40" s="3" t="n">
        <f aca="false">E40*$D11</f>
        <v>191.55</v>
      </c>
      <c r="G40" s="3" t="n">
        <f aca="false">F40/52</f>
        <v>3.68365384615385</v>
      </c>
      <c r="H40" s="3" t="n">
        <v>158</v>
      </c>
      <c r="I40" s="3" t="n">
        <f aca="false">F40*H40</f>
        <v>30264.9</v>
      </c>
      <c r="J40" s="3" t="n">
        <f aca="false">I40/12</f>
        <v>2522.075</v>
      </c>
      <c r="K40" s="1" t="n">
        <f aca="false">I40/$B$11</f>
        <v>403.532</v>
      </c>
      <c r="L40" s="0" t="n">
        <f aca="false">$E40*$D$6</f>
        <v>2.4</v>
      </c>
      <c r="M40" s="0" t="n">
        <f aca="false">$E40*$D$7</f>
        <v>13.5</v>
      </c>
      <c r="N40" s="0" t="n">
        <f aca="false">$E40*$D$8</f>
        <v>20.25</v>
      </c>
      <c r="O40" s="0" t="n">
        <f aca="false">$E40*$D$9</f>
        <v>135</v>
      </c>
      <c r="P40" s="0" t="n">
        <f aca="false">$E40*$D$10</f>
        <v>20.4</v>
      </c>
    </row>
    <row r="41" customFormat="false" ht="15" hidden="false" customHeight="true" outlineLevel="0" collapsed="false">
      <c r="A41" s="3" t="s">
        <v>89</v>
      </c>
      <c r="B41" s="3" t="s">
        <v>84</v>
      </c>
      <c r="C41" s="3" t="s">
        <v>90</v>
      </c>
      <c r="D41" s="3" t="s">
        <v>91</v>
      </c>
      <c r="E41" s="3" t="n">
        <v>25</v>
      </c>
      <c r="F41" s="3" t="n">
        <f aca="false">E41*$D11</f>
        <v>1596.25</v>
      </c>
      <c r="G41" s="3" t="n">
        <f aca="false">F41/52</f>
        <v>30.6971153846154</v>
      </c>
      <c r="H41" s="3" t="n">
        <v>42</v>
      </c>
      <c r="I41" s="3" t="n">
        <f aca="false">F41*H41</f>
        <v>67042.5</v>
      </c>
      <c r="J41" s="3" t="n">
        <f aca="false">I41/12</f>
        <v>5586.875</v>
      </c>
      <c r="K41" s="1" t="n">
        <f aca="false">I41/$B$11</f>
        <v>893.9</v>
      </c>
      <c r="L41" s="0" t="n">
        <f aca="false">$E41*$D$6</f>
        <v>20</v>
      </c>
      <c r="M41" s="0" t="n">
        <f aca="false">$E41*$D$7</f>
        <v>112.5</v>
      </c>
      <c r="N41" s="0" t="n">
        <f aca="false">$E41*$D$8</f>
        <v>168.75</v>
      </c>
      <c r="O41" s="0" t="n">
        <f aca="false">$E41*$D$9</f>
        <v>1125</v>
      </c>
      <c r="P41" s="0" t="n">
        <f aca="false">$E41*$D$10</f>
        <v>170</v>
      </c>
    </row>
    <row r="42" customFormat="false" ht="15" hidden="false" customHeight="true" outlineLevel="0" collapsed="false">
      <c r="A42" s="3" t="s">
        <v>92</v>
      </c>
      <c r="B42" s="3" t="s">
        <v>84</v>
      </c>
      <c r="C42" s="3" t="s">
        <v>93</v>
      </c>
      <c r="D42" s="3" t="s">
        <v>33</v>
      </c>
      <c r="E42" s="3" t="n">
        <v>15</v>
      </c>
      <c r="F42" s="3" t="n">
        <f aca="false">E42*$D11</f>
        <v>957.75</v>
      </c>
      <c r="G42" s="3" t="n">
        <f aca="false">F42/52</f>
        <v>18.4182692307692</v>
      </c>
      <c r="H42" s="3" t="n">
        <v>167</v>
      </c>
      <c r="I42" s="3" t="n">
        <f aca="false">F42*H42</f>
        <v>159944.25</v>
      </c>
      <c r="J42" s="3" t="n">
        <f aca="false">I42/12</f>
        <v>13328.6875</v>
      </c>
      <c r="K42" s="1" t="n">
        <f aca="false">I42/$B$11</f>
        <v>2132.59</v>
      </c>
      <c r="L42" s="0" t="n">
        <f aca="false">$E42*$D$6</f>
        <v>12</v>
      </c>
      <c r="M42" s="0" t="n">
        <f aca="false">$E42*$D$7</f>
        <v>67.5</v>
      </c>
      <c r="N42" s="0" t="n">
        <f aca="false">$E42*$D$8</f>
        <v>101.25</v>
      </c>
      <c r="O42" s="0" t="n">
        <f aca="false">$E42*$D$9</f>
        <v>675</v>
      </c>
      <c r="P42" s="0" t="n">
        <f aca="false">$E42*$D$10</f>
        <v>102</v>
      </c>
    </row>
    <row r="43" customFormat="false" ht="15" hidden="false" customHeight="true" outlineLevel="0" collapsed="false">
      <c r="A43" s="3" t="s">
        <v>94</v>
      </c>
      <c r="B43" s="3" t="s">
        <v>95</v>
      </c>
      <c r="C43" s="3" t="s">
        <v>96</v>
      </c>
      <c r="D43" s="3" t="s">
        <v>33</v>
      </c>
      <c r="E43" s="3" t="n">
        <v>1</v>
      </c>
      <c r="F43" s="3" t="n">
        <f aca="false">E43*$D11</f>
        <v>63.85</v>
      </c>
      <c r="G43" s="3" t="n">
        <f aca="false">F43/52</f>
        <v>1.22788461538462</v>
      </c>
      <c r="H43" s="3" t="n">
        <v>155</v>
      </c>
      <c r="I43" s="3" t="n">
        <f aca="false">F43*H43</f>
        <v>9896.75</v>
      </c>
      <c r="J43" s="3" t="n">
        <f aca="false">I43/12</f>
        <v>824.729166666667</v>
      </c>
      <c r="K43" s="1" t="n">
        <f aca="false">I43/$B$11</f>
        <v>131.956666666667</v>
      </c>
      <c r="L43" s="0" t="n">
        <f aca="false">$E43*$D$6</f>
        <v>0.8</v>
      </c>
      <c r="M43" s="0" t="n">
        <f aca="false">$E43*$D$7</f>
        <v>4.5</v>
      </c>
      <c r="N43" s="0" t="n">
        <f aca="false">$E43*$D$8</f>
        <v>6.75</v>
      </c>
      <c r="O43" s="0" t="n">
        <f aca="false">$E43*$D$9</f>
        <v>45</v>
      </c>
      <c r="P43" s="0" t="n">
        <f aca="false">$E43*$D$10</f>
        <v>6.8</v>
      </c>
    </row>
    <row r="44" customFormat="false" ht="15" hidden="false" customHeight="true" outlineLevel="0" collapsed="false">
      <c r="A44" s="3" t="s">
        <v>97</v>
      </c>
      <c r="B44" s="3" t="s">
        <v>98</v>
      </c>
      <c r="C44" s="3" t="s">
        <v>99</v>
      </c>
      <c r="D44" s="3" t="s">
        <v>100</v>
      </c>
      <c r="E44" s="3" t="n">
        <v>15</v>
      </c>
      <c r="F44" s="3" t="n">
        <f aca="false">E44*$D11</f>
        <v>957.75</v>
      </c>
      <c r="G44" s="3" t="n">
        <f aca="false">F44/52</f>
        <v>18.4182692307692</v>
      </c>
      <c r="H44" s="3" t="n">
        <v>13</v>
      </c>
      <c r="I44" s="3" t="n">
        <f aca="false">F44*H44</f>
        <v>12450.75</v>
      </c>
      <c r="J44" s="3" t="n">
        <f aca="false">I44/12</f>
        <v>1037.5625</v>
      </c>
      <c r="K44" s="1" t="n">
        <f aca="false">I44/$B$11</f>
        <v>166.01</v>
      </c>
      <c r="L44" s="0" t="n">
        <f aca="false">$E44*$D$6</f>
        <v>12</v>
      </c>
      <c r="M44" s="0" t="n">
        <f aca="false">$E44*$D$7</f>
        <v>67.5</v>
      </c>
      <c r="N44" s="0" t="n">
        <f aca="false">$E44*$D$8</f>
        <v>101.25</v>
      </c>
      <c r="O44" s="0" t="n">
        <f aca="false">$E44*$D$9</f>
        <v>675</v>
      </c>
      <c r="P44" s="0" t="n">
        <f aca="false">$E44*$D$10</f>
        <v>102</v>
      </c>
    </row>
    <row r="45" customFormat="false" ht="15" hidden="false" customHeight="true" outlineLevel="0" collapsed="false">
      <c r="A45" s="3" t="s">
        <v>101</v>
      </c>
      <c r="B45" s="3" t="s">
        <v>98</v>
      </c>
      <c r="C45" s="3" t="s">
        <v>102</v>
      </c>
      <c r="D45" s="3" t="s">
        <v>100</v>
      </c>
      <c r="E45" s="3" t="n">
        <v>15</v>
      </c>
      <c r="F45" s="3" t="n">
        <f aca="false">E45*$D11</f>
        <v>957.75</v>
      </c>
      <c r="G45" s="3" t="n">
        <f aca="false">F45/52</f>
        <v>18.4182692307692</v>
      </c>
      <c r="H45" s="3" t="n">
        <v>13</v>
      </c>
      <c r="I45" s="3" t="n">
        <f aca="false">F45*H45</f>
        <v>12450.75</v>
      </c>
      <c r="J45" s="3" t="n">
        <f aca="false">I45/12</f>
        <v>1037.5625</v>
      </c>
      <c r="K45" s="1" t="n">
        <f aca="false">I45/$B$11</f>
        <v>166.01</v>
      </c>
      <c r="L45" s="0" t="n">
        <f aca="false">$E45*$D$6</f>
        <v>12</v>
      </c>
      <c r="M45" s="0" t="n">
        <f aca="false">$E45*$D$7</f>
        <v>67.5</v>
      </c>
      <c r="N45" s="0" t="n">
        <f aca="false">$E45*$D$8</f>
        <v>101.25</v>
      </c>
      <c r="O45" s="0" t="n">
        <f aca="false">$E45*$D$9</f>
        <v>675</v>
      </c>
      <c r="P45" s="0" t="n">
        <f aca="false">$E45*$D$10</f>
        <v>102</v>
      </c>
    </row>
    <row r="46" customFormat="false" ht="15" hidden="false" customHeight="true" outlineLevel="0" collapsed="false">
      <c r="A46" s="3" t="s">
        <v>103</v>
      </c>
      <c r="B46" s="3" t="s">
        <v>98</v>
      </c>
      <c r="C46" s="3" t="s">
        <v>104</v>
      </c>
      <c r="D46" s="3" t="s">
        <v>100</v>
      </c>
      <c r="E46" s="3" t="n">
        <v>5</v>
      </c>
      <c r="F46" s="3" t="n">
        <f aca="false">E46*$D11</f>
        <v>319.25</v>
      </c>
      <c r="G46" s="3" t="n">
        <f aca="false">F46/52</f>
        <v>6.13942307692308</v>
      </c>
      <c r="H46" s="3" t="n">
        <v>16</v>
      </c>
      <c r="I46" s="3" t="n">
        <f aca="false">F46*H46</f>
        <v>5108</v>
      </c>
      <c r="J46" s="3" t="n">
        <f aca="false">I46/12</f>
        <v>425.666666666667</v>
      </c>
      <c r="K46" s="1" t="n">
        <f aca="false">I46/$B$11</f>
        <v>68.1066666666667</v>
      </c>
      <c r="L46" s="0" t="n">
        <f aca="false">$E46*$D$6</f>
        <v>4</v>
      </c>
      <c r="M46" s="0" t="n">
        <f aca="false">$E46*$D$7</f>
        <v>22.5</v>
      </c>
      <c r="N46" s="0" t="n">
        <f aca="false">$E46*$D$8</f>
        <v>33.75</v>
      </c>
      <c r="O46" s="0" t="n">
        <f aca="false">$E46*$D$9</f>
        <v>225</v>
      </c>
      <c r="P46" s="0" t="n">
        <f aca="false">$E46*$D$10</f>
        <v>34</v>
      </c>
    </row>
    <row r="47" customFormat="false" ht="15" hidden="false" customHeight="true" outlineLevel="0" collapsed="false">
      <c r="A47" s="3" t="s">
        <v>105</v>
      </c>
      <c r="B47" s="3" t="s">
        <v>98</v>
      </c>
      <c r="C47" s="3" t="s">
        <v>106</v>
      </c>
      <c r="D47" s="3" t="s">
        <v>33</v>
      </c>
      <c r="E47" s="3" t="n">
        <v>0.1</v>
      </c>
      <c r="F47" s="3" t="n">
        <f aca="false">E47*$D11</f>
        <v>6.385</v>
      </c>
      <c r="G47" s="3" t="n">
        <f aca="false">F47/52</f>
        <v>0.122788461538462</v>
      </c>
      <c r="H47" s="3" t="n">
        <v>210</v>
      </c>
      <c r="I47" s="3" t="n">
        <f aca="false">F47*H47</f>
        <v>1340.85</v>
      </c>
      <c r="J47" s="3" t="n">
        <f aca="false">I47/12</f>
        <v>111.7375</v>
      </c>
      <c r="K47" s="1" t="n">
        <f aca="false">I47/$B$11</f>
        <v>17.878</v>
      </c>
      <c r="L47" s="0" t="n">
        <f aca="false">$E47*$D$6</f>
        <v>0.08</v>
      </c>
      <c r="M47" s="0" t="n">
        <f aca="false">$E47*$D$7</f>
        <v>0.45</v>
      </c>
      <c r="N47" s="0" t="n">
        <f aca="false">$E47*$D$8</f>
        <v>0.675</v>
      </c>
      <c r="O47" s="0" t="n">
        <f aca="false">$E47*$D$9</f>
        <v>4.5</v>
      </c>
      <c r="P47" s="0" t="n">
        <f aca="false">$E47*$D$10</f>
        <v>0.68</v>
      </c>
    </row>
    <row r="48" customFormat="false" ht="15" hidden="false" customHeight="true" outlineLevel="0" collapsed="false">
      <c r="A48" s="3" t="s">
        <v>107</v>
      </c>
      <c r="B48" s="3" t="s">
        <v>108</v>
      </c>
      <c r="C48" s="3" t="s">
        <v>109</v>
      </c>
      <c r="D48" s="3" t="s">
        <v>86</v>
      </c>
      <c r="E48" s="3" t="n">
        <v>8</v>
      </c>
      <c r="F48" s="3" t="n">
        <f aca="false">E48*$D11</f>
        <v>510.8</v>
      </c>
      <c r="G48" s="3" t="n">
        <f aca="false">F48/52</f>
        <v>9.82307692307692</v>
      </c>
      <c r="H48" s="3" t="n">
        <v>77</v>
      </c>
      <c r="I48" s="3" t="n">
        <f aca="false">F48*H48</f>
        <v>39331.6</v>
      </c>
      <c r="J48" s="3" t="n">
        <f aca="false">I48/12</f>
        <v>3277.63333333333</v>
      </c>
      <c r="K48" s="1" t="n">
        <f aca="false">I48/$B$11</f>
        <v>524.421333333333</v>
      </c>
      <c r="L48" s="0" t="n">
        <f aca="false">$E48*$D$6</f>
        <v>6.4</v>
      </c>
      <c r="M48" s="0" t="n">
        <f aca="false">$E48*$D$7</f>
        <v>36</v>
      </c>
      <c r="N48" s="0" t="n">
        <f aca="false">$E48*$D$8</f>
        <v>54</v>
      </c>
      <c r="O48" s="0" t="n">
        <f aca="false">$E48*$D$9</f>
        <v>360</v>
      </c>
      <c r="P48" s="0" t="n">
        <f aca="false">$E48*$D$10</f>
        <v>54.4</v>
      </c>
    </row>
    <row r="49" customFormat="false" ht="15" hidden="false" customHeight="true" outlineLevel="0" collapsed="false">
      <c r="A49" s="3" t="s">
        <v>110</v>
      </c>
      <c r="B49" s="3" t="s">
        <v>108</v>
      </c>
      <c r="C49" s="3" t="s">
        <v>111</v>
      </c>
      <c r="D49" s="3" t="s">
        <v>86</v>
      </c>
      <c r="E49" s="3" t="n">
        <v>3</v>
      </c>
      <c r="F49" s="3" t="n">
        <f aca="false">E49*$D11</f>
        <v>191.55</v>
      </c>
      <c r="G49" s="3" t="n">
        <f aca="false">F49/52</f>
        <v>3.68365384615385</v>
      </c>
      <c r="H49" s="3" t="n">
        <v>115</v>
      </c>
      <c r="I49" s="3" t="n">
        <f aca="false">F49*H49</f>
        <v>22028.25</v>
      </c>
      <c r="J49" s="3" t="n">
        <f aca="false">I49/12</f>
        <v>1835.6875</v>
      </c>
      <c r="K49" s="1" t="n">
        <f aca="false">I49/$B$11</f>
        <v>293.71</v>
      </c>
      <c r="L49" s="0" t="n">
        <f aca="false">$E49*$D$6</f>
        <v>2.4</v>
      </c>
      <c r="M49" s="0" t="n">
        <f aca="false">$E49*$D$7</f>
        <v>13.5</v>
      </c>
      <c r="N49" s="0" t="n">
        <f aca="false">$E49*$D$8</f>
        <v>20.25</v>
      </c>
      <c r="O49" s="0" t="n">
        <f aca="false">$E49*$D$9</f>
        <v>135</v>
      </c>
      <c r="P49" s="0" t="n">
        <f aca="false">$E49*$D$10</f>
        <v>20.4</v>
      </c>
    </row>
    <row r="50" customFormat="false" ht="15" hidden="false" customHeight="true" outlineLevel="0" collapsed="false">
      <c r="A50" s="3" t="s">
        <v>112</v>
      </c>
      <c r="B50" s="3" t="s">
        <v>113</v>
      </c>
      <c r="C50" s="3" t="s">
        <v>114</v>
      </c>
      <c r="D50" s="3" t="s">
        <v>86</v>
      </c>
      <c r="E50" s="3" t="n">
        <v>1</v>
      </c>
      <c r="F50" s="3" t="n">
        <f aca="false">E50*$D11</f>
        <v>63.85</v>
      </c>
      <c r="G50" s="3" t="n">
        <f aca="false">F50/52</f>
        <v>1.22788461538462</v>
      </c>
      <c r="H50" s="3" t="n">
        <v>58</v>
      </c>
      <c r="I50" s="3" t="n">
        <f aca="false">F50*H50</f>
        <v>3703.3</v>
      </c>
      <c r="J50" s="3" t="n">
        <f aca="false">I50/12</f>
        <v>308.608333333333</v>
      </c>
      <c r="K50" s="1" t="n">
        <f aca="false">I50/$B$11</f>
        <v>49.3773333333333</v>
      </c>
      <c r="L50" s="0" t="n">
        <f aca="false">$E50*$D$6</f>
        <v>0.8</v>
      </c>
      <c r="M50" s="0" t="n">
        <f aca="false">$E50*$D$7</f>
        <v>4.5</v>
      </c>
      <c r="N50" s="0" t="n">
        <f aca="false">$E50*$D$8</f>
        <v>6.75</v>
      </c>
      <c r="O50" s="0" t="n">
        <f aca="false">$E50*$D$9</f>
        <v>45</v>
      </c>
      <c r="P50" s="0" t="n">
        <f aca="false">$E50*$D$10</f>
        <v>6.8</v>
      </c>
    </row>
    <row r="51" customFormat="false" ht="15" hidden="false" customHeight="true" outlineLevel="0" collapsed="false">
      <c r="A51" s="3" t="s">
        <v>115</v>
      </c>
      <c r="B51" s="3" t="s">
        <v>113</v>
      </c>
      <c r="C51" s="3" t="s">
        <v>116</v>
      </c>
      <c r="D51" s="3" t="s">
        <v>33</v>
      </c>
      <c r="E51" s="3" t="n">
        <v>2</v>
      </c>
      <c r="F51" s="3" t="n">
        <f aca="false">E51*$D11</f>
        <v>127.7</v>
      </c>
      <c r="G51" s="3" t="n">
        <f aca="false">F51/52</f>
        <v>2.45576923076923</v>
      </c>
      <c r="H51" s="3" t="n">
        <v>48</v>
      </c>
      <c r="I51" s="3" t="n">
        <f aca="false">F51*H51</f>
        <v>6129.6</v>
      </c>
      <c r="J51" s="3" t="n">
        <f aca="false">I51/12</f>
        <v>510.8</v>
      </c>
      <c r="K51" s="1" t="n">
        <f aca="false">I51/$B$11</f>
        <v>81.728</v>
      </c>
      <c r="L51" s="0" t="n">
        <f aca="false">$E51*$D$6</f>
        <v>1.6</v>
      </c>
      <c r="M51" s="0" t="n">
        <f aca="false">$E51*$D$7</f>
        <v>9</v>
      </c>
      <c r="N51" s="0" t="n">
        <f aca="false">$E51*$D$8</f>
        <v>13.5</v>
      </c>
      <c r="O51" s="0" t="n">
        <f aca="false">$E51*$D$9</f>
        <v>90</v>
      </c>
      <c r="P51" s="0" t="n">
        <f aca="false">$E51*$D$10</f>
        <v>13.6</v>
      </c>
    </row>
    <row r="52" customFormat="false" ht="15" hidden="false" customHeight="true" outlineLevel="0" collapsed="false">
      <c r="A52" s="3" t="s">
        <v>117</v>
      </c>
      <c r="B52" s="3" t="s">
        <v>118</v>
      </c>
      <c r="C52" s="3" t="s">
        <v>119</v>
      </c>
      <c r="D52" s="3" t="s">
        <v>33</v>
      </c>
      <c r="E52" s="3" t="n">
        <v>3</v>
      </c>
      <c r="F52" s="3" t="n">
        <f aca="false">E52*$D11</f>
        <v>191.55</v>
      </c>
      <c r="G52" s="3" t="n">
        <f aca="false">F52/52</f>
        <v>3.68365384615385</v>
      </c>
      <c r="H52" s="3" t="n">
        <v>54</v>
      </c>
      <c r="I52" s="3" t="n">
        <f aca="false">F52*H52</f>
        <v>10343.7</v>
      </c>
      <c r="J52" s="3" t="n">
        <f aca="false">I52/12</f>
        <v>861.975</v>
      </c>
      <c r="K52" s="1" t="n">
        <f aca="false">I52/$B$11</f>
        <v>137.916</v>
      </c>
      <c r="L52" s="0" t="n">
        <f aca="false">$E52*$D$6</f>
        <v>2.4</v>
      </c>
      <c r="M52" s="0" t="n">
        <f aca="false">$E52*$D$7</f>
        <v>13.5</v>
      </c>
      <c r="N52" s="0" t="n">
        <f aca="false">$E52*$D$8</f>
        <v>20.25</v>
      </c>
      <c r="O52" s="0" t="n">
        <f aca="false">$E52*$D$9</f>
        <v>135</v>
      </c>
      <c r="P52" s="0" t="n">
        <f aca="false">$E52*$D$10</f>
        <v>20.4</v>
      </c>
    </row>
    <row r="53" customFormat="false" ht="15" hidden="false" customHeight="true" outlineLevel="0" collapsed="false">
      <c r="A53" s="3" t="s">
        <v>120</v>
      </c>
      <c r="B53" s="3" t="s">
        <v>118</v>
      </c>
      <c r="C53" s="3" t="s">
        <v>121</v>
      </c>
      <c r="D53" s="3" t="s">
        <v>33</v>
      </c>
      <c r="E53" s="3" t="n">
        <v>0.3</v>
      </c>
      <c r="F53" s="3" t="n">
        <f aca="false">E53*$D11</f>
        <v>19.155</v>
      </c>
      <c r="G53" s="3" t="n">
        <f aca="false">F53/52</f>
        <v>0.368365384615385</v>
      </c>
      <c r="H53" s="3" t="n">
        <v>200</v>
      </c>
      <c r="I53" s="3" t="n">
        <f aca="false">F53*H53</f>
        <v>3831</v>
      </c>
      <c r="J53" s="3" t="n">
        <f aca="false">I53/12</f>
        <v>319.25</v>
      </c>
      <c r="K53" s="1" t="n">
        <f aca="false">I53/$B$11</f>
        <v>51.08</v>
      </c>
      <c r="L53" s="0" t="n">
        <f aca="false">$E53*$D$6</f>
        <v>0.24</v>
      </c>
      <c r="M53" s="0" t="n">
        <f aca="false">$E53*$D$7</f>
        <v>1.35</v>
      </c>
      <c r="N53" s="0" t="n">
        <f aca="false">$E53*$D$8</f>
        <v>2.025</v>
      </c>
      <c r="O53" s="0" t="n">
        <f aca="false">$E53*$D$9</f>
        <v>13.5</v>
      </c>
      <c r="P53" s="0" t="n">
        <f aca="false">$E53*$D$10</f>
        <v>2.04</v>
      </c>
    </row>
    <row r="54" customFormat="false" ht="15" hidden="false" customHeight="true" outlineLevel="0" collapsed="false">
      <c r="A54" s="3" t="s">
        <v>122</v>
      </c>
      <c r="B54" s="3" t="s">
        <v>123</v>
      </c>
      <c r="C54" s="3" t="s">
        <v>124</v>
      </c>
      <c r="D54" s="3" t="s">
        <v>33</v>
      </c>
      <c r="E54" s="3" t="n">
        <v>0.6</v>
      </c>
      <c r="F54" s="3" t="n">
        <f aca="false">E54*$D11</f>
        <v>38.31</v>
      </c>
      <c r="G54" s="3" t="n">
        <f aca="false">F54/52</f>
        <v>0.736730769230769</v>
      </c>
      <c r="H54" s="3" t="n">
        <v>190</v>
      </c>
      <c r="I54" s="3" t="n">
        <f aca="false">F54*H54</f>
        <v>7278.9</v>
      </c>
      <c r="J54" s="3" t="n">
        <f aca="false">I54/12</f>
        <v>606.575</v>
      </c>
      <c r="K54" s="1" t="n">
        <f aca="false">I54/$B$11</f>
        <v>97.052</v>
      </c>
      <c r="L54" s="0" t="n">
        <f aca="false">$E54*$D$6</f>
        <v>0.48</v>
      </c>
      <c r="M54" s="0" t="n">
        <f aca="false">$E54*$D$7</f>
        <v>2.7</v>
      </c>
      <c r="N54" s="0" t="n">
        <f aca="false">$E54*$D$8</f>
        <v>4.05</v>
      </c>
      <c r="O54" s="0" t="n">
        <f aca="false">$E54*$D$9</f>
        <v>27</v>
      </c>
      <c r="P54" s="0" t="n">
        <f aca="false">$E54*$D$10</f>
        <v>4.08</v>
      </c>
    </row>
    <row r="55" customFormat="false" ht="15" hidden="false" customHeight="true" outlineLevel="0" collapsed="false">
      <c r="A55" s="3" t="s">
        <v>125</v>
      </c>
      <c r="B55" s="3" t="s">
        <v>126</v>
      </c>
      <c r="C55" s="3" t="s">
        <v>127</v>
      </c>
      <c r="D55" s="3" t="s">
        <v>33</v>
      </c>
      <c r="E55" s="3" t="n">
        <v>1</v>
      </c>
      <c r="F55" s="3" t="n">
        <f aca="false">E55*$D11</f>
        <v>63.85</v>
      </c>
      <c r="G55" s="3" t="n">
        <f aca="false">F55/52</f>
        <v>1.22788461538462</v>
      </c>
      <c r="H55" s="3" t="n">
        <v>185</v>
      </c>
      <c r="I55" s="3" t="n">
        <f aca="false">F55*H55</f>
        <v>11812.25</v>
      </c>
      <c r="J55" s="3" t="n">
        <f aca="false">I55/12</f>
        <v>984.354166666667</v>
      </c>
      <c r="K55" s="1" t="n">
        <f aca="false">I55/$B$11</f>
        <v>157.496666666667</v>
      </c>
      <c r="L55" s="0" t="n">
        <f aca="false">$E55*$D$6</f>
        <v>0.8</v>
      </c>
      <c r="M55" s="0" t="n">
        <f aca="false">$E55*$D$7</f>
        <v>4.5</v>
      </c>
      <c r="N55" s="0" t="n">
        <f aca="false">$E55*$D$8</f>
        <v>6.75</v>
      </c>
      <c r="O55" s="0" t="n">
        <f aca="false">$E55*$D$9</f>
        <v>45</v>
      </c>
      <c r="P55" s="0" t="n">
        <f aca="false">$E55*$D$10</f>
        <v>6.8</v>
      </c>
    </row>
    <row r="56" customFormat="false" ht="15" hidden="false" customHeight="true" outlineLevel="0" collapsed="false">
      <c r="A56" s="3" t="s">
        <v>128</v>
      </c>
      <c r="B56" s="3" t="s">
        <v>129</v>
      </c>
      <c r="C56" s="3" t="s">
        <v>130</v>
      </c>
      <c r="D56" s="3" t="s">
        <v>33</v>
      </c>
      <c r="E56" s="3" t="n">
        <v>15</v>
      </c>
      <c r="F56" s="3" t="n">
        <f aca="false">E56*$D11</f>
        <v>957.75</v>
      </c>
      <c r="G56" s="3" t="n">
        <f aca="false">F56/52</f>
        <v>18.4182692307692</v>
      </c>
      <c r="H56" s="3" t="n">
        <v>86</v>
      </c>
      <c r="I56" s="3" t="n">
        <f aca="false">F56*H56</f>
        <v>82366.5</v>
      </c>
      <c r="J56" s="3" t="n">
        <f aca="false">I56/12</f>
        <v>6863.875</v>
      </c>
      <c r="K56" s="1" t="n">
        <f aca="false">I56/$B$11</f>
        <v>1098.22</v>
      </c>
      <c r="L56" s="0" t="n">
        <f aca="false">$E56*$D$6</f>
        <v>12</v>
      </c>
      <c r="M56" s="0" t="n">
        <f aca="false">$E56*$D$7</f>
        <v>67.5</v>
      </c>
      <c r="N56" s="0" t="n">
        <f aca="false">$E56*$D$8</f>
        <v>101.25</v>
      </c>
      <c r="O56" s="0" t="n">
        <f aca="false">$E56*$D$9</f>
        <v>675</v>
      </c>
      <c r="P56" s="0" t="n">
        <f aca="false">$E56*$D$10</f>
        <v>102</v>
      </c>
    </row>
    <row r="57" customFormat="false" ht="15" hidden="false" customHeight="true" outlineLevel="0" collapsed="false">
      <c r="A57" s="3" t="s">
        <v>131</v>
      </c>
      <c r="B57" s="3" t="s">
        <v>129</v>
      </c>
      <c r="C57" s="3" t="s">
        <v>132</v>
      </c>
      <c r="D57" s="3" t="s">
        <v>33</v>
      </c>
      <c r="E57" s="3" t="n">
        <v>5</v>
      </c>
      <c r="F57" s="3" t="n">
        <f aca="false">E57*$D11</f>
        <v>319.25</v>
      </c>
      <c r="G57" s="3" t="n">
        <f aca="false">F57/52</f>
        <v>6.13942307692308</v>
      </c>
      <c r="H57" s="3" t="n">
        <v>90</v>
      </c>
      <c r="I57" s="3" t="n">
        <f aca="false">F57*H57</f>
        <v>28732.5</v>
      </c>
      <c r="J57" s="3" t="n">
        <f aca="false">I57/12</f>
        <v>2394.375</v>
      </c>
      <c r="K57" s="1" t="n">
        <f aca="false">I57/$B$11</f>
        <v>383.1</v>
      </c>
      <c r="L57" s="0" t="n">
        <f aca="false">$E57*$D$6</f>
        <v>4</v>
      </c>
      <c r="M57" s="0" t="n">
        <f aca="false">$E57*$D$7</f>
        <v>22.5</v>
      </c>
      <c r="N57" s="0" t="n">
        <f aca="false">$E57*$D$8</f>
        <v>33.75</v>
      </c>
      <c r="O57" s="0" t="n">
        <f aca="false">$E57*$D$9</f>
        <v>225</v>
      </c>
      <c r="P57" s="0" t="n">
        <f aca="false">$E57*$D$10</f>
        <v>34</v>
      </c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customFormat="false" ht="15" hidden="false" customHeight="true" outlineLevel="0" collapsed="false">
      <c r="A60" s="5" t="s">
        <v>133</v>
      </c>
      <c r="B60" s="3"/>
      <c r="C60" s="3"/>
      <c r="D60" s="3"/>
      <c r="E60" s="3"/>
      <c r="F60" s="3"/>
      <c r="G60" s="3"/>
      <c r="H60" s="3"/>
      <c r="I60" s="3"/>
      <c r="J60" s="3"/>
    </row>
    <row r="61" customFormat="false" ht="15" hidden="false" customHeight="true" outlineLevel="0" collapsed="false">
      <c r="A61" s="6" t="s">
        <v>15</v>
      </c>
      <c r="B61" s="6" t="s">
        <v>22</v>
      </c>
      <c r="C61" s="6" t="s">
        <v>23</v>
      </c>
      <c r="D61" s="6" t="s">
        <v>134</v>
      </c>
      <c r="E61" s="3"/>
      <c r="F61" s="3"/>
      <c r="G61" s="3"/>
      <c r="H61" s="3"/>
      <c r="I61" s="3"/>
      <c r="J61" s="3"/>
    </row>
    <row r="62" customFormat="false" ht="15" hidden="false" customHeight="true" outlineLevel="0" collapsed="false">
      <c r="A62" s="3" t="s">
        <v>31</v>
      </c>
      <c r="B62" s="3" t="n">
        <f aca="false">SUMIF($B$16:$B$57,A62,$I$16:$I$57)</f>
        <v>85559</v>
      </c>
      <c r="C62" s="3" t="n">
        <f aca="false">B62/12</f>
        <v>7129.91666666667</v>
      </c>
      <c r="D62" s="3" t="n">
        <f aca="false">B62/52</f>
        <v>1645.36538461538</v>
      </c>
      <c r="E62" s="3"/>
      <c r="F62" s="3"/>
      <c r="G62" s="3"/>
      <c r="H62" s="3"/>
      <c r="I62" s="3"/>
      <c r="J62" s="3"/>
    </row>
    <row r="63" customFormat="false" ht="15" hidden="false" customHeight="true" outlineLevel="0" collapsed="false">
      <c r="A63" s="3" t="s">
        <v>43</v>
      </c>
      <c r="B63" s="3" t="n">
        <f aca="false">SUMIF($B$16:$B$57,A63,$I$16:$I$57)</f>
        <v>46163.55</v>
      </c>
      <c r="C63" s="3" t="n">
        <f aca="false">B63/12</f>
        <v>3846.9625</v>
      </c>
      <c r="D63" s="3" t="n">
        <f aca="false">B63/52</f>
        <v>887.760576923077</v>
      </c>
      <c r="E63" s="3"/>
      <c r="F63" s="3"/>
      <c r="G63" s="3"/>
      <c r="H63" s="3"/>
      <c r="I63" s="3"/>
      <c r="J63" s="3"/>
    </row>
    <row r="64" customFormat="false" ht="15" hidden="false" customHeight="true" outlineLevel="0" collapsed="false">
      <c r="A64" s="3" t="s">
        <v>52</v>
      </c>
      <c r="B64" s="3" t="n">
        <f aca="false">SUMIF($B$16:$B$57,A64,$I$16:$I$57)</f>
        <v>6193.45</v>
      </c>
      <c r="C64" s="3" t="n">
        <f aca="false">B64/12</f>
        <v>516.120833333333</v>
      </c>
      <c r="D64" s="3" t="n">
        <f aca="false">B64/52</f>
        <v>119.104807692308</v>
      </c>
      <c r="E64" s="3"/>
      <c r="F64" s="3"/>
      <c r="G64" s="3"/>
      <c r="H64" s="3"/>
      <c r="I64" s="3"/>
      <c r="J64" s="3"/>
    </row>
    <row r="65" customFormat="false" ht="15" hidden="false" customHeight="true" outlineLevel="0" collapsed="false">
      <c r="A65" s="3" t="s">
        <v>59</v>
      </c>
      <c r="B65" s="3" t="n">
        <f aca="false">SUMIF($B$16:$B$57,A65,$I$16:$I$57)</f>
        <v>36458.35</v>
      </c>
      <c r="C65" s="3" t="n">
        <f aca="false">B65/12</f>
        <v>3038.19583333333</v>
      </c>
      <c r="D65" s="3" t="n">
        <f aca="false">B65/52</f>
        <v>701.122115384615</v>
      </c>
      <c r="E65" s="3"/>
      <c r="F65" s="3"/>
      <c r="G65" s="3"/>
      <c r="H65" s="3"/>
      <c r="I65" s="3"/>
      <c r="J65" s="3"/>
    </row>
    <row r="66" customFormat="false" ht="15" hidden="false" customHeight="true" outlineLevel="0" collapsed="false">
      <c r="A66" s="3" t="s">
        <v>68</v>
      </c>
      <c r="B66" s="3" t="n">
        <f aca="false">SUMIF($B$16:$B$57,A66,$I$16:$I$57)</f>
        <v>206427.05</v>
      </c>
      <c r="C66" s="3" t="n">
        <f aca="false">B66/12</f>
        <v>17202.2541666667</v>
      </c>
      <c r="D66" s="3" t="n">
        <f aca="false">B66/52</f>
        <v>3969.75096153846</v>
      </c>
      <c r="E66" s="3"/>
      <c r="F66" s="3"/>
      <c r="G66" s="3"/>
      <c r="H66" s="3"/>
      <c r="I66" s="3"/>
      <c r="J66" s="3"/>
    </row>
    <row r="67" customFormat="false" ht="15" hidden="false" customHeight="true" outlineLevel="0" collapsed="false">
      <c r="A67" s="3" t="s">
        <v>77</v>
      </c>
      <c r="B67" s="3" t="n">
        <f aca="false">SUMIF($B$16:$B$57,A67,$I$16:$I$57)</f>
        <v>58231.2</v>
      </c>
      <c r="C67" s="3" t="n">
        <f aca="false">B67/12</f>
        <v>4852.6</v>
      </c>
      <c r="D67" s="3" t="n">
        <f aca="false">B67/52</f>
        <v>1119.83076923077</v>
      </c>
      <c r="E67" s="3"/>
      <c r="F67" s="3"/>
      <c r="G67" s="3"/>
      <c r="H67" s="3"/>
      <c r="I67" s="3"/>
      <c r="J67" s="3"/>
    </row>
    <row r="68" customFormat="false" ht="15" hidden="false" customHeight="true" outlineLevel="0" collapsed="false">
      <c r="A68" s="3" t="s">
        <v>84</v>
      </c>
      <c r="B68" s="3" t="n">
        <f aca="false">SUMIF($B$16:$B$57,A68,$I$16:$I$57)</f>
        <v>330040.65</v>
      </c>
      <c r="C68" s="3" t="n">
        <f aca="false">B68/12</f>
        <v>27503.3875</v>
      </c>
      <c r="D68" s="3" t="n">
        <f aca="false">B68/52</f>
        <v>6346.93557692308</v>
      </c>
      <c r="E68" s="3"/>
      <c r="F68" s="3"/>
      <c r="G68" s="3"/>
      <c r="H68" s="3"/>
      <c r="I68" s="3"/>
      <c r="J68" s="3"/>
    </row>
    <row r="69" customFormat="false" ht="15" hidden="false" customHeight="true" outlineLevel="0" collapsed="false">
      <c r="A69" s="3" t="s">
        <v>95</v>
      </c>
      <c r="B69" s="3" t="n">
        <f aca="false">SUMIF($B$16:$B$57,A69,$I$16:$I$57)</f>
        <v>9896.75</v>
      </c>
      <c r="C69" s="3" t="n">
        <f aca="false">B69/12</f>
        <v>824.729166666667</v>
      </c>
      <c r="D69" s="3" t="n">
        <f aca="false">B69/52</f>
        <v>190.322115384615</v>
      </c>
      <c r="E69" s="3"/>
      <c r="F69" s="3"/>
      <c r="G69" s="3"/>
      <c r="H69" s="3"/>
      <c r="I69" s="3"/>
      <c r="J69" s="3"/>
    </row>
    <row r="70" customFormat="false" ht="15" hidden="false" customHeight="true" outlineLevel="0" collapsed="false">
      <c r="A70" s="3" t="s">
        <v>98</v>
      </c>
      <c r="B70" s="3" t="n">
        <f aca="false">SUMIF($B$16:$B$57,A70,$I$16:$I$57)</f>
        <v>31350.35</v>
      </c>
      <c r="C70" s="3" t="n">
        <f aca="false">B70/12</f>
        <v>2612.52916666667</v>
      </c>
      <c r="D70" s="3" t="n">
        <f aca="false">B70/52</f>
        <v>602.891346153846</v>
      </c>
      <c r="E70" s="3"/>
      <c r="F70" s="3"/>
      <c r="G70" s="3"/>
      <c r="H70" s="3"/>
      <c r="I70" s="3"/>
      <c r="J70" s="3"/>
    </row>
    <row r="71" customFormat="false" ht="15" hidden="false" customHeight="true" outlineLevel="0" collapsed="false">
      <c r="A71" s="3" t="s">
        <v>108</v>
      </c>
      <c r="B71" s="3" t="n">
        <f aca="false">SUMIF($B$16:$B$57,A71,$I$16:$I$57)</f>
        <v>61359.85</v>
      </c>
      <c r="C71" s="3" t="n">
        <f aca="false">B71/12</f>
        <v>5113.32083333333</v>
      </c>
      <c r="D71" s="3" t="n">
        <f aca="false">B71/52</f>
        <v>1179.99711538462</v>
      </c>
      <c r="E71" s="3"/>
      <c r="F71" s="3"/>
      <c r="G71" s="3"/>
      <c r="H71" s="3"/>
      <c r="I71" s="3"/>
      <c r="J71" s="3"/>
    </row>
    <row r="72" customFormat="false" ht="15" hidden="false" customHeight="true" outlineLevel="0" collapsed="false">
      <c r="A72" s="3" t="s">
        <v>113</v>
      </c>
      <c r="B72" s="3" t="n">
        <f aca="false">SUMIF($B$16:$B$57,A72,$I$16:$I$57)</f>
        <v>9832.9</v>
      </c>
      <c r="C72" s="3" t="n">
        <f aca="false">B72/12</f>
        <v>819.408333333333</v>
      </c>
      <c r="D72" s="3" t="n">
        <f aca="false">B72/52</f>
        <v>189.094230769231</v>
      </c>
      <c r="E72" s="3"/>
      <c r="F72" s="3"/>
      <c r="G72" s="3"/>
      <c r="H72" s="3"/>
      <c r="I72" s="3"/>
      <c r="J72" s="3"/>
    </row>
    <row r="73" customFormat="false" ht="15" hidden="false" customHeight="true" outlineLevel="0" collapsed="false">
      <c r="A73" s="3" t="s">
        <v>118</v>
      </c>
      <c r="B73" s="3" t="n">
        <f aca="false">SUMIF($B$16:$B$57,A73,$I$16:$I$57)</f>
        <v>14174.7</v>
      </c>
      <c r="C73" s="3" t="n">
        <f aca="false">B73/12</f>
        <v>1181.225</v>
      </c>
      <c r="D73" s="3" t="n">
        <f aca="false">B73/52</f>
        <v>272.590384615385</v>
      </c>
      <c r="E73" s="3"/>
      <c r="F73" s="3"/>
      <c r="G73" s="3"/>
      <c r="H73" s="3"/>
      <c r="I73" s="3"/>
      <c r="J73" s="3"/>
    </row>
    <row r="74" customFormat="false" ht="15" hidden="false" customHeight="true" outlineLevel="0" collapsed="false">
      <c r="A74" s="3" t="s">
        <v>123</v>
      </c>
      <c r="B74" s="3" t="n">
        <f aca="false">SUMIF($B$16:$B$57,A74,$I$16:$I$57)</f>
        <v>7278.9</v>
      </c>
      <c r="C74" s="3" t="n">
        <f aca="false">B74/12</f>
        <v>606.575</v>
      </c>
      <c r="D74" s="3" t="n">
        <f aca="false">B74/52</f>
        <v>139.978846153846</v>
      </c>
      <c r="E74" s="3"/>
      <c r="F74" s="3"/>
      <c r="G74" s="3"/>
      <c r="H74" s="3"/>
      <c r="I74" s="3"/>
      <c r="J74" s="3"/>
    </row>
    <row r="75" customFormat="false" ht="15" hidden="false" customHeight="true" outlineLevel="0" collapsed="false">
      <c r="A75" s="3" t="s">
        <v>126</v>
      </c>
      <c r="B75" s="3" t="n">
        <f aca="false">SUMIF($B$16:$B$57,A75,$I$16:$I$57)</f>
        <v>11812.25</v>
      </c>
      <c r="C75" s="3" t="n">
        <f aca="false">B75/12</f>
        <v>984.354166666667</v>
      </c>
      <c r="D75" s="3" t="n">
        <f aca="false">B75/52</f>
        <v>227.158653846154</v>
      </c>
      <c r="E75" s="3"/>
      <c r="F75" s="3"/>
      <c r="G75" s="3"/>
      <c r="H75" s="3"/>
      <c r="I75" s="3"/>
      <c r="J75" s="3"/>
    </row>
    <row r="76" customFormat="false" ht="15" hidden="false" customHeight="true" outlineLevel="0" collapsed="false">
      <c r="A76" s="3" t="s">
        <v>129</v>
      </c>
      <c r="B76" s="3" t="n">
        <f aca="false">SUMIF($B$16:$B$57,A76,$I$16:$I$57)</f>
        <v>111099</v>
      </c>
      <c r="C76" s="3" t="n">
        <f aca="false">B76/12</f>
        <v>9258.25</v>
      </c>
      <c r="D76" s="3" t="n">
        <f aca="false">B76/52</f>
        <v>2136.51923076923</v>
      </c>
      <c r="E76" s="3"/>
      <c r="F76" s="3"/>
      <c r="G76" s="3"/>
      <c r="H76" s="3"/>
      <c r="I76" s="3"/>
      <c r="J76" s="3"/>
    </row>
    <row r="77" customFormat="false" ht="15" hidden="false" customHeight="true" outlineLevel="0" collapsed="false">
      <c r="A77" s="7" t="s">
        <v>135</v>
      </c>
      <c r="B77" s="7" t="n">
        <f aca="false">SUM(B62:B76)</f>
        <v>1025877.95</v>
      </c>
      <c r="C77" s="7" t="n">
        <f aca="false">B77/12</f>
        <v>85489.8291666667</v>
      </c>
      <c r="D77" s="7" t="n">
        <f aca="false">B77/52</f>
        <v>19728.4221153846</v>
      </c>
      <c r="E77" s="3"/>
      <c r="F77" s="3"/>
      <c r="G77" s="3"/>
      <c r="H77" s="3"/>
      <c r="I77" s="3"/>
      <c r="J77" s="3"/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5"/>
  </cols>
  <sheetData>
    <row r="1" customFormat="false" ht="17.25" hidden="false" customHeight="true" outlineLevel="0" collapsed="false">
      <c r="A1" s="9" t="s">
        <v>136</v>
      </c>
    </row>
    <row r="2" customFormat="false" ht="15" hidden="false" customHeight="true" outlineLevel="0" collapsed="false">
      <c r="A2" s="10" t="s">
        <v>137</v>
      </c>
    </row>
    <row r="4" customFormat="false" ht="15" hidden="false" customHeight="true" outlineLevel="0" collapsed="false">
      <c r="A4" s="11"/>
      <c r="B4" s="12"/>
    </row>
    <row r="5" customFormat="false" ht="15" hidden="false" customHeight="true" outlineLevel="0" collapsed="false">
      <c r="A5" s="7" t="s">
        <v>138</v>
      </c>
      <c r="B5" s="12"/>
    </row>
    <row r="6" customFormat="false" ht="23.25" hidden="false" customHeight="true" outlineLevel="0" collapsed="false">
      <c r="A6" s="11" t="s">
        <v>139</v>
      </c>
      <c r="B6" s="12" t="s">
        <v>140</v>
      </c>
    </row>
    <row r="7" customFormat="false" ht="15" hidden="false" customHeight="true" outlineLevel="0" collapsed="false">
      <c r="A7" s="11" t="s">
        <v>141</v>
      </c>
      <c r="B7" s="12" t="s">
        <v>142</v>
      </c>
    </row>
    <row r="8" customFormat="false" ht="15" hidden="false" customHeight="true" outlineLevel="0" collapsed="false">
      <c r="A8" s="11" t="s">
        <v>143</v>
      </c>
      <c r="B8" s="12" t="s">
        <v>144</v>
      </c>
    </row>
    <row r="9" customFormat="false" ht="15" hidden="false" customHeight="true" outlineLevel="0" collapsed="false">
      <c r="A9" s="11" t="s">
        <v>145</v>
      </c>
      <c r="B9" s="12" t="s">
        <v>146</v>
      </c>
    </row>
    <row r="10" customFormat="false" ht="15" hidden="false" customHeight="true" outlineLevel="0" collapsed="false">
      <c r="A10" s="11" t="s">
        <v>147</v>
      </c>
      <c r="B10" s="12" t="s">
        <v>148</v>
      </c>
    </row>
    <row r="11" customFormat="false" ht="15" hidden="false" customHeight="true" outlineLevel="0" collapsed="false">
      <c r="A11" s="11"/>
      <c r="B11" s="12"/>
    </row>
    <row r="12" customFormat="false" ht="15" hidden="false" customHeight="true" outlineLevel="0" collapsed="false">
      <c r="A12" s="11" t="s">
        <v>14</v>
      </c>
      <c r="B12" s="12" t="s">
        <v>149</v>
      </c>
    </row>
    <row r="13" customFormat="false" ht="15" hidden="false" customHeight="true" outlineLevel="0" collapsed="false">
      <c r="A13" s="11"/>
      <c r="B13" s="12"/>
    </row>
    <row r="14" customFormat="false" ht="15" hidden="false" customHeight="true" outlineLevel="0" collapsed="false">
      <c r="A14" s="7" t="s">
        <v>150</v>
      </c>
      <c r="B14" s="12"/>
    </row>
    <row r="15" customFormat="false" ht="15" hidden="false" customHeight="true" outlineLevel="0" collapsed="false">
      <c r="A15" s="11" t="s">
        <v>151</v>
      </c>
      <c r="B15" s="12" t="s">
        <v>152</v>
      </c>
    </row>
    <row r="16" customFormat="false" ht="23.25" hidden="false" customHeight="true" outlineLevel="0" collapsed="false">
      <c r="A16" s="11" t="s">
        <v>153</v>
      </c>
      <c r="B16" s="12" t="s">
        <v>154</v>
      </c>
    </row>
    <row r="17" customFormat="false" ht="15" hidden="false" customHeight="true" outlineLevel="0" collapsed="false">
      <c r="A17" s="11"/>
      <c r="B17" s="12"/>
    </row>
    <row r="18" customFormat="false" ht="34.5" hidden="false" customHeight="true" outlineLevel="0" collapsed="false">
      <c r="A18" s="11" t="s">
        <v>155</v>
      </c>
      <c r="B18" s="12" t="s">
        <v>156</v>
      </c>
    </row>
    <row r="19" customFormat="false" ht="15" hidden="false" customHeight="true" outlineLevel="0" collapsed="false">
      <c r="A19" s="11"/>
      <c r="B19" s="12"/>
    </row>
    <row r="20" customFormat="false" ht="15" hidden="false" customHeight="true" outlineLevel="0" collapsed="false">
      <c r="A20" s="7" t="s">
        <v>157</v>
      </c>
      <c r="B20" s="12"/>
    </row>
    <row r="21" customFormat="false" ht="15" hidden="false" customHeight="true" outlineLevel="0" collapsed="false">
      <c r="A21" s="11" t="s">
        <v>158</v>
      </c>
      <c r="B21" s="12" t="s">
        <v>159</v>
      </c>
    </row>
    <row r="23" customFormat="false" ht="15" hidden="false" customHeight="true" outlineLevel="0" collapsed="false">
      <c r="A23" s="7"/>
      <c r="B23" s="13"/>
    </row>
    <row r="24" customFormat="false" ht="15" hidden="false" customHeight="true" outlineLevel="0" collapsed="false">
      <c r="A24" s="7" t="s">
        <v>160</v>
      </c>
      <c r="B24" s="13"/>
    </row>
    <row r="25" customFormat="false" ht="23.25" hidden="false" customHeight="true" outlineLevel="0" collapsed="false">
      <c r="A25" s="11" t="s">
        <v>161</v>
      </c>
      <c r="B25" s="13" t="s">
        <v>162</v>
      </c>
    </row>
    <row r="26" customFormat="false" ht="23.25" hidden="false" customHeight="true" outlineLevel="0" collapsed="false">
      <c r="A26" s="11" t="s">
        <v>163</v>
      </c>
      <c r="B26" s="13" t="s">
        <v>164</v>
      </c>
    </row>
    <row r="27" customFormat="false" ht="15" hidden="false" customHeight="true" outlineLevel="0" collapsed="false">
      <c r="A27" s="11" t="s">
        <v>165</v>
      </c>
      <c r="B27" s="13" t="s">
        <v>166</v>
      </c>
    </row>
    <row r="28" customFormat="false" ht="23.25" hidden="false" customHeight="true" outlineLevel="0" collapsed="false">
      <c r="A28" s="11" t="s">
        <v>167</v>
      </c>
      <c r="B28" s="13" t="s">
        <v>168</v>
      </c>
    </row>
    <row r="30" customFormat="false" ht="15" hidden="false" customHeight="true" outlineLevel="0" collapsed="false">
      <c r="A30" s="5" t="s">
        <v>169</v>
      </c>
    </row>
    <row r="31" customFormat="false" ht="90" hidden="false" customHeight="true" outlineLevel="0" collapsed="false">
      <c r="A31" s="14" t="s">
        <v>170</v>
      </c>
    </row>
    <row r="33" customFormat="false" ht="15" hidden="false" customHeight="true" outlineLevel="0" collapsed="false">
      <c r="A33" s="5" t="s">
        <v>171</v>
      </c>
    </row>
    <row r="34" customFormat="false" ht="105" hidden="false" customHeight="true" outlineLevel="0" collapsed="false">
      <c r="A34" s="14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5" min="4" style="1" width="20"/>
    <col collapsed="false" customWidth="true" hidden="false" outlineLevel="0" max="6" min="6" style="1" width="26"/>
    <col collapsed="false" customWidth="true" hidden="false" outlineLevel="0" max="7" min="7" style="1" width="24"/>
    <col collapsed="false" customWidth="true" hidden="false" outlineLevel="0" max="8" min="8" style="1" width="36"/>
  </cols>
  <sheetData>
    <row r="1" customFormat="false" ht="23.25" hidden="false" customHeight="true" outlineLevel="0" collapsed="false">
      <c r="A1" s="15" t="s">
        <v>14</v>
      </c>
      <c r="B1" s="15" t="s">
        <v>173</v>
      </c>
      <c r="C1" s="15" t="s">
        <v>174</v>
      </c>
      <c r="D1" s="15" t="s">
        <v>175</v>
      </c>
      <c r="E1" s="15" t="s">
        <v>176</v>
      </c>
      <c r="F1" s="15" t="s">
        <v>177</v>
      </c>
      <c r="G1" s="15" t="s">
        <v>178</v>
      </c>
      <c r="H1" s="15" t="s">
        <v>179</v>
      </c>
    </row>
    <row r="2" customFormat="false" ht="23.25" hidden="false" customHeight="true" outlineLevel="0" collapsed="false">
      <c r="A2" s="16" t="s">
        <v>30</v>
      </c>
      <c r="B2" s="16" t="str">
        <f aca="false">IFERROR(INDEX(Skafferi!$C$2:$C$43,MATCH(A2,Skafferi!$A$2:$A$43,0)),"")</f>
        <v>Potatis</v>
      </c>
      <c r="C2" s="16" t="s">
        <v>180</v>
      </c>
      <c r="D2" s="16" t="s">
        <v>181</v>
      </c>
      <c r="E2" s="16" t="s">
        <v>182</v>
      </c>
      <c r="F2" s="16" t="s">
        <v>183</v>
      </c>
      <c r="G2" s="16" t="s">
        <v>184</v>
      </c>
      <c r="H2" s="16" t="s">
        <v>185</v>
      </c>
    </row>
    <row r="3" customFormat="false" ht="23.25" hidden="false" customHeight="true" outlineLevel="0" collapsed="false">
      <c r="A3" s="16" t="s">
        <v>34</v>
      </c>
      <c r="B3" s="16" t="str">
        <f aca="false">IFERROR(INDEX(Skafferi!$C$2:$C$43,MATCH(A3,Skafferi!$A$2:$A$43,0)),"")</f>
        <v>Morot</v>
      </c>
      <c r="C3" s="16" t="s">
        <v>186</v>
      </c>
      <c r="D3" s="16" t="s">
        <v>187</v>
      </c>
      <c r="E3" s="16" t="s">
        <v>188</v>
      </c>
      <c r="F3" s="16" t="s">
        <v>189</v>
      </c>
      <c r="G3" s="16" t="s">
        <v>184</v>
      </c>
      <c r="H3" s="16" t="s">
        <v>190</v>
      </c>
    </row>
    <row r="4" customFormat="false" ht="23.25" hidden="false" customHeight="true" outlineLevel="0" collapsed="false">
      <c r="A4" s="16" t="s">
        <v>36</v>
      </c>
      <c r="B4" s="16" t="str">
        <f aca="false">IFERROR(INDEX(Skafferi!$C$2:$C$43,MATCH(A4,Skafferi!$A$2:$A$43,0)),"")</f>
        <v>Gul lök</v>
      </c>
      <c r="C4" s="16" t="s">
        <v>186</v>
      </c>
      <c r="D4" s="16" t="s">
        <v>187</v>
      </c>
      <c r="E4" s="16" t="s">
        <v>188</v>
      </c>
      <c r="F4" s="16" t="s">
        <v>189</v>
      </c>
      <c r="G4" s="16" t="s">
        <v>184</v>
      </c>
      <c r="H4" s="16" t="s">
        <v>190</v>
      </c>
    </row>
    <row r="5" customFormat="false" ht="23.25" hidden="false" customHeight="true" outlineLevel="0" collapsed="false">
      <c r="A5" s="16" t="s">
        <v>38</v>
      </c>
      <c r="B5" s="16" t="str">
        <f aca="false">IFERROR(INDEX(Skafferi!$C$2:$C$43,MATCH(A5,Skafferi!$A$2:$A$43,0)),"")</f>
        <v>Vitkål</v>
      </c>
      <c r="C5" s="16" t="s">
        <v>186</v>
      </c>
      <c r="D5" s="16" t="s">
        <v>187</v>
      </c>
      <c r="E5" s="16" t="s">
        <v>188</v>
      </c>
      <c r="F5" s="16" t="s">
        <v>189</v>
      </c>
      <c r="G5" s="16" t="s">
        <v>184</v>
      </c>
      <c r="H5" s="16" t="s">
        <v>190</v>
      </c>
    </row>
    <row r="6" customFormat="false" ht="23.25" hidden="false" customHeight="true" outlineLevel="0" collapsed="false">
      <c r="A6" s="17" t="s">
        <v>40</v>
      </c>
      <c r="B6" s="17" t="str">
        <f aca="false">IFERROR(INDEX(Skafferi!$C$2:$C$43,MATCH(A6,Skafferi!$A$2:$A$43,0)),"")</f>
        <v>Tomat, växthus</v>
      </c>
      <c r="C6" s="17" t="s">
        <v>188</v>
      </c>
      <c r="D6" s="17" t="s">
        <v>188</v>
      </c>
      <c r="E6" s="17" t="s">
        <v>188</v>
      </c>
      <c r="F6" s="17" t="s">
        <v>188</v>
      </c>
      <c r="G6" s="17" t="s">
        <v>191</v>
      </c>
      <c r="H6" s="17" t="s">
        <v>192</v>
      </c>
    </row>
    <row r="7" customFormat="false" ht="23.25" hidden="false" customHeight="true" outlineLevel="0" collapsed="false">
      <c r="A7" s="17" t="s">
        <v>42</v>
      </c>
      <c r="B7" s="17" t="str">
        <f aca="false">IFERROR(INDEX(Skafferi!$C$2:$C$43,MATCH(A7,Skafferi!$A$2:$A$43,0)),"")</f>
        <v>Äpple</v>
      </c>
      <c r="C7" s="17" t="s">
        <v>188</v>
      </c>
      <c r="D7" s="17" t="s">
        <v>188</v>
      </c>
      <c r="E7" s="17" t="s">
        <v>188</v>
      </c>
      <c r="F7" s="17" t="s">
        <v>188</v>
      </c>
      <c r="G7" s="17" t="s">
        <v>191</v>
      </c>
      <c r="H7" s="17" t="s">
        <v>193</v>
      </c>
    </row>
    <row r="8" customFormat="false" ht="23.25" hidden="false" customHeight="true" outlineLevel="0" collapsed="false">
      <c r="A8" s="17" t="s">
        <v>45</v>
      </c>
      <c r="B8" s="17" t="str">
        <f aca="false">IFERROR(INDEX(Skafferi!$C$2:$C$43,MATCH(A8,Skafferi!$A$2:$A$43,0)),"")</f>
        <v>Päron</v>
      </c>
      <c r="C8" s="17" t="s">
        <v>188</v>
      </c>
      <c r="D8" s="17" t="s">
        <v>188</v>
      </c>
      <c r="E8" s="17" t="s">
        <v>188</v>
      </c>
      <c r="F8" s="17" t="s">
        <v>188</v>
      </c>
      <c r="G8" s="17" t="s">
        <v>191</v>
      </c>
      <c r="H8" s="17" t="s">
        <v>193</v>
      </c>
    </row>
    <row r="9" customFormat="false" ht="23.25" hidden="false" customHeight="true" outlineLevel="0" collapsed="false">
      <c r="A9" s="17" t="s">
        <v>47</v>
      </c>
      <c r="B9" s="17" t="str">
        <f aca="false">IFERROR(INDEX(Skafferi!$C$2:$C$43,MATCH(A9,Skafferi!$A$2:$A$43,0)),"")</f>
        <v>Jordgubbar</v>
      </c>
      <c r="C9" s="17" t="s">
        <v>188</v>
      </c>
      <c r="D9" s="17" t="s">
        <v>188</v>
      </c>
      <c r="E9" s="17" t="s">
        <v>188</v>
      </c>
      <c r="F9" s="17" t="s">
        <v>188</v>
      </c>
      <c r="G9" s="17" t="s">
        <v>191</v>
      </c>
      <c r="H9" s="17" t="s">
        <v>194</v>
      </c>
    </row>
    <row r="10" customFormat="false" ht="23.25" hidden="false" customHeight="true" outlineLevel="0" collapsed="false">
      <c r="A10" s="17" t="s">
        <v>49</v>
      </c>
      <c r="B10" s="17" t="str">
        <f aca="false">IFERROR(INDEX(Skafferi!$C$2:$C$43,MATCH(A10,Skafferi!$A$2:$A$43,0)),"")</f>
        <v>Blåbär</v>
      </c>
      <c r="C10" s="17" t="s">
        <v>188</v>
      </c>
      <c r="D10" s="17" t="s">
        <v>188</v>
      </c>
      <c r="E10" s="17" t="s">
        <v>188</v>
      </c>
      <c r="F10" s="17" t="s">
        <v>188</v>
      </c>
      <c r="G10" s="17" t="s">
        <v>191</v>
      </c>
      <c r="H10" s="17" t="s">
        <v>195</v>
      </c>
    </row>
    <row r="11" customFormat="false" ht="34.5" hidden="false" customHeight="true" outlineLevel="0" collapsed="false">
      <c r="A11" s="17" t="s">
        <v>51</v>
      </c>
      <c r="B11" s="17" t="str">
        <f aca="false">IFERROR(INDEX(Skafferi!$C$2:$C$43,MATCH(A11,Skafferi!$A$2:$A$43,0)),"")</f>
        <v>Gula ärtor</v>
      </c>
      <c r="C11" s="17" t="s">
        <v>188</v>
      </c>
      <c r="D11" s="17" t="s">
        <v>188</v>
      </c>
      <c r="E11" s="17" t="s">
        <v>188</v>
      </c>
      <c r="F11" s="17" t="s">
        <v>188</v>
      </c>
      <c r="G11" s="17" t="s">
        <v>191</v>
      </c>
      <c r="H11" s="17" t="s">
        <v>196</v>
      </c>
    </row>
    <row r="12" customFormat="false" ht="23.25" hidden="false" customHeight="true" outlineLevel="0" collapsed="false">
      <c r="A12" s="17" t="s">
        <v>54</v>
      </c>
      <c r="B12" s="17" t="str">
        <f aca="false">IFERROR(INDEX(Skafferi!$C$2:$C$43,MATCH(A12,Skafferi!$A$2:$A$43,0)),"")</f>
        <v>Bruna bönor</v>
      </c>
      <c r="C12" s="17" t="s">
        <v>188</v>
      </c>
      <c r="D12" s="17" t="s">
        <v>188</v>
      </c>
      <c r="E12" s="17" t="s">
        <v>188</v>
      </c>
      <c r="F12" s="17" t="s">
        <v>188</v>
      </c>
      <c r="G12" s="17" t="s">
        <v>191</v>
      </c>
      <c r="H12" s="17" t="s">
        <v>197</v>
      </c>
    </row>
    <row r="13" customFormat="false" ht="23.25" hidden="false" customHeight="true" outlineLevel="0" collapsed="false">
      <c r="A13" s="17" t="s">
        <v>56</v>
      </c>
      <c r="B13" s="17" t="str">
        <f aca="false">IFERROR(INDEX(Skafferi!$C$2:$C$43,MATCH(A13,Skafferi!$A$2:$A$43,0)),"")</f>
        <v>Åkerböna</v>
      </c>
      <c r="C13" s="17" t="s">
        <v>188</v>
      </c>
      <c r="D13" s="17" t="s">
        <v>188</v>
      </c>
      <c r="E13" s="17" t="s">
        <v>188</v>
      </c>
      <c r="F13" s="17" t="s">
        <v>188</v>
      </c>
      <c r="G13" s="17" t="s">
        <v>191</v>
      </c>
      <c r="H13" s="17" t="s">
        <v>198</v>
      </c>
    </row>
    <row r="14" customFormat="false" ht="23.25" hidden="false" customHeight="true" outlineLevel="0" collapsed="false">
      <c r="A14" s="17" t="s">
        <v>58</v>
      </c>
      <c r="B14" s="17" t="str">
        <f aca="false">IFERROR(INDEX(Skafferi!$C$2:$C$43,MATCH(A14,Skafferi!$A$2:$A$43,0)),"")</f>
        <v>Havregryn</v>
      </c>
      <c r="C14" s="17" t="s">
        <v>188</v>
      </c>
      <c r="D14" s="17" t="s">
        <v>188</v>
      </c>
      <c r="E14" s="17" t="s">
        <v>188</v>
      </c>
      <c r="F14" s="17" t="s">
        <v>188</v>
      </c>
      <c r="G14" s="17" t="s">
        <v>191</v>
      </c>
      <c r="H14" s="17" t="s">
        <v>199</v>
      </c>
    </row>
    <row r="15" customFormat="false" ht="23.25" hidden="false" customHeight="true" outlineLevel="0" collapsed="false">
      <c r="A15" s="17" t="s">
        <v>61</v>
      </c>
      <c r="B15" s="17" t="str">
        <f aca="false">IFERROR(INDEX(Skafferi!$C$2:$C$43,MATCH(A15,Skafferi!$A$2:$A$43,0)),"")</f>
        <v>Rågmjöl</v>
      </c>
      <c r="C15" s="17" t="s">
        <v>188</v>
      </c>
      <c r="D15" s="17" t="s">
        <v>188</v>
      </c>
      <c r="E15" s="17" t="s">
        <v>188</v>
      </c>
      <c r="F15" s="17" t="s">
        <v>188</v>
      </c>
      <c r="G15" s="17" t="s">
        <v>191</v>
      </c>
      <c r="H15" s="17" t="s">
        <v>200</v>
      </c>
    </row>
    <row r="16" customFormat="false" ht="23.25" hidden="false" customHeight="true" outlineLevel="0" collapsed="false">
      <c r="A16" s="17" t="s">
        <v>63</v>
      </c>
      <c r="B16" s="17" t="str">
        <f aca="false">IFERROR(INDEX(Skafferi!$C$2:$C$43,MATCH(A16,Skafferi!$A$2:$A$43,0)),"")</f>
        <v>Vetemjöl</v>
      </c>
      <c r="C16" s="17" t="s">
        <v>188</v>
      </c>
      <c r="D16" s="17" t="s">
        <v>188</v>
      </c>
      <c r="E16" s="17" t="s">
        <v>188</v>
      </c>
      <c r="F16" s="17" t="s">
        <v>188</v>
      </c>
      <c r="G16" s="17" t="s">
        <v>191</v>
      </c>
      <c r="H16" s="17" t="s">
        <v>200</v>
      </c>
    </row>
    <row r="17" customFormat="false" ht="23.25" hidden="false" customHeight="true" outlineLevel="0" collapsed="false">
      <c r="A17" s="17" t="s">
        <v>65</v>
      </c>
      <c r="B17" s="17" t="str">
        <f aca="false">IFERROR(INDEX(Skafferi!$C$2:$C$43,MATCH(A17,Skafferi!$A$2:$A$43,0)),"")</f>
        <v>Korngryn</v>
      </c>
      <c r="C17" s="17" t="s">
        <v>188</v>
      </c>
      <c r="D17" s="17" t="s">
        <v>188</v>
      </c>
      <c r="E17" s="17" t="s">
        <v>188</v>
      </c>
      <c r="F17" s="17" t="s">
        <v>188</v>
      </c>
      <c r="G17" s="17" t="s">
        <v>191</v>
      </c>
      <c r="H17" s="17" t="s">
        <v>200</v>
      </c>
    </row>
    <row r="18" customFormat="false" ht="23.25" hidden="false" customHeight="true" outlineLevel="0" collapsed="false">
      <c r="A18" s="16" t="s">
        <v>67</v>
      </c>
      <c r="B18" s="16" t="str">
        <f aca="false">IFERROR(INDEX(Skafferi!$C$2:$C$43,MATCH(A18,Skafferi!$A$2:$A$43,0)),"")</f>
        <v>Nötfärs</v>
      </c>
      <c r="C18" s="16" t="s">
        <v>201</v>
      </c>
      <c r="D18" s="16" t="s">
        <v>202</v>
      </c>
      <c r="E18" s="16" t="s">
        <v>203</v>
      </c>
      <c r="F18" s="16" t="s">
        <v>204</v>
      </c>
      <c r="G18" s="16" t="s">
        <v>184</v>
      </c>
      <c r="H18" s="16" t="s">
        <v>205</v>
      </c>
    </row>
    <row r="19" customFormat="false" ht="23.25" hidden="false" customHeight="true" outlineLevel="0" collapsed="false">
      <c r="A19" s="16" t="s">
        <v>70</v>
      </c>
      <c r="B19" s="16" t="str">
        <f aca="false">IFERROR(INDEX(Skafferi!$C$2:$C$43,MATCH(A19,Skafferi!$A$2:$A$43,0)),"")</f>
        <v>Fläskkotlett</v>
      </c>
      <c r="C19" s="16" t="s">
        <v>206</v>
      </c>
      <c r="D19" s="16" t="s">
        <v>207</v>
      </c>
      <c r="E19" s="16" t="s">
        <v>208</v>
      </c>
      <c r="F19" s="16" t="s">
        <v>209</v>
      </c>
      <c r="G19" s="16" t="s">
        <v>184</v>
      </c>
      <c r="H19" s="16" t="s">
        <v>205</v>
      </c>
    </row>
    <row r="20" customFormat="false" ht="34.5" hidden="false" customHeight="true" outlineLevel="0" collapsed="false">
      <c r="A20" s="17" t="s">
        <v>72</v>
      </c>
      <c r="B20" s="17" t="str">
        <f aca="false">IFERROR(INDEX(Skafferi!$C$2:$C$43,MATCH(A20,Skafferi!$A$2:$A$43,0)),"")</f>
        <v>Kycklingfilé</v>
      </c>
      <c r="C20" s="17" t="s">
        <v>188</v>
      </c>
      <c r="D20" s="17" t="s">
        <v>188</v>
      </c>
      <c r="E20" s="17" t="s">
        <v>188</v>
      </c>
      <c r="F20" s="17" t="s">
        <v>188</v>
      </c>
      <c r="G20" s="17" t="s">
        <v>191</v>
      </c>
      <c r="H20" s="17" t="s">
        <v>210</v>
      </c>
    </row>
    <row r="21" customFormat="false" ht="23.25" hidden="false" customHeight="true" outlineLevel="0" collapsed="false">
      <c r="A21" s="16" t="s">
        <v>74</v>
      </c>
      <c r="B21" s="16" t="str">
        <f aca="false">IFERROR(INDEX(Skafferi!$C$2:$C$43,MATCH(A21,Skafferi!$A$2:$A$43,0)),"")</f>
        <v>Lammkött</v>
      </c>
      <c r="C21" s="16" t="s">
        <v>201</v>
      </c>
      <c r="D21" s="16" t="s">
        <v>202</v>
      </c>
      <c r="E21" s="16" t="s">
        <v>203</v>
      </c>
      <c r="F21" s="16" t="s">
        <v>204</v>
      </c>
      <c r="G21" s="16" t="s">
        <v>184</v>
      </c>
      <c r="H21" s="16" t="s">
        <v>205</v>
      </c>
    </row>
    <row r="22" customFormat="false" ht="23.25" hidden="false" customHeight="true" outlineLevel="0" collapsed="false">
      <c r="A22" s="17" t="s">
        <v>76</v>
      </c>
      <c r="B22" s="17" t="str">
        <f aca="false">IFERROR(INDEX(Skafferi!$C$2:$C$43,MATCH(A22,Skafferi!$A$2:$A$43,0)),"")</f>
        <v>Odlad lax/regnbåge</v>
      </c>
      <c r="C22" s="17" t="s">
        <v>188</v>
      </c>
      <c r="D22" s="17" t="s">
        <v>188</v>
      </c>
      <c r="E22" s="17" t="s">
        <v>188</v>
      </c>
      <c r="F22" s="17" t="s">
        <v>188</v>
      </c>
      <c r="G22" s="17" t="s">
        <v>191</v>
      </c>
      <c r="H22" s="17" t="s">
        <v>211</v>
      </c>
    </row>
    <row r="23" customFormat="false" ht="23.25" hidden="false" customHeight="true" outlineLevel="0" collapsed="false">
      <c r="A23" s="17" t="s">
        <v>79</v>
      </c>
      <c r="B23" s="17" t="str">
        <f aca="false">IFERROR(INDEX(Skafferi!$C$2:$C$43,MATCH(A23,Skafferi!$A$2:$A$43,0)),"")</f>
        <v>Strömming/sill</v>
      </c>
      <c r="C23" s="17" t="s">
        <v>188</v>
      </c>
      <c r="D23" s="17" t="s">
        <v>188</v>
      </c>
      <c r="E23" s="17" t="s">
        <v>188</v>
      </c>
      <c r="F23" s="17" t="s">
        <v>188</v>
      </c>
      <c r="G23" s="17" t="s">
        <v>191</v>
      </c>
      <c r="H23" s="17" t="s">
        <v>212</v>
      </c>
    </row>
    <row r="24" customFormat="false" ht="23.25" hidden="false" customHeight="true" outlineLevel="0" collapsed="false">
      <c r="A24" s="17" t="s">
        <v>81</v>
      </c>
      <c r="B24" s="17" t="str">
        <f aca="false">IFERROR(INDEX(Skafferi!$C$2:$C$43,MATCH(A24,Skafferi!$A$2:$A$43,0)),"")</f>
        <v>Gös/abborre</v>
      </c>
      <c r="C24" s="17" t="s">
        <v>188</v>
      </c>
      <c r="D24" s="17" t="s">
        <v>188</v>
      </c>
      <c r="E24" s="17" t="s">
        <v>188</v>
      </c>
      <c r="F24" s="17" t="s">
        <v>188</v>
      </c>
      <c r="G24" s="17" t="s">
        <v>191</v>
      </c>
      <c r="H24" s="17" t="s">
        <v>213</v>
      </c>
    </row>
    <row r="25" customFormat="false" ht="23.25" hidden="false" customHeight="true" outlineLevel="0" collapsed="false">
      <c r="A25" s="16" t="s">
        <v>83</v>
      </c>
      <c r="B25" s="16" t="str">
        <f aca="false">IFERROR(INDEX(Skafferi!$C$2:$C$43,MATCH(A25,Skafferi!$A$2:$A$43,0)),"")</f>
        <v>Mjölk</v>
      </c>
      <c r="C25" s="16" t="s">
        <v>214</v>
      </c>
      <c r="D25" s="16" t="s">
        <v>215</v>
      </c>
      <c r="E25" s="16" t="s">
        <v>188</v>
      </c>
      <c r="F25" s="16" t="s">
        <v>216</v>
      </c>
      <c r="G25" s="16" t="s">
        <v>184</v>
      </c>
      <c r="H25" s="16" t="s">
        <v>217</v>
      </c>
    </row>
    <row r="26" customFormat="false" ht="23.25" hidden="false" customHeight="true" outlineLevel="0" collapsed="false">
      <c r="A26" s="16" t="s">
        <v>87</v>
      </c>
      <c r="B26" s="16" t="str">
        <f aca="false">IFERROR(INDEX(Skafferi!$C$2:$C$43,MATCH(A26,Skafferi!$A$2:$A$43,0)),"")</f>
        <v>Smör</v>
      </c>
      <c r="C26" s="16" t="s">
        <v>218</v>
      </c>
      <c r="D26" s="16" t="s">
        <v>219</v>
      </c>
      <c r="E26" s="16" t="s">
        <v>220</v>
      </c>
      <c r="F26" s="16" t="s">
        <v>221</v>
      </c>
      <c r="G26" s="16" t="s">
        <v>184</v>
      </c>
      <c r="H26" s="16" t="s">
        <v>205</v>
      </c>
    </row>
    <row r="27" customFormat="false" ht="23.25" hidden="false" customHeight="true" outlineLevel="0" collapsed="false">
      <c r="A27" s="16" t="s">
        <v>89</v>
      </c>
      <c r="B27" s="16" t="str">
        <f aca="false">IFERROR(INDEX(Skafferi!$C$2:$C$43,MATCH(A27,Skafferi!$A$2:$A$43,0)),"")</f>
        <v>Ägg</v>
      </c>
      <c r="C27" s="16" t="s">
        <v>186</v>
      </c>
      <c r="D27" s="16" t="s">
        <v>187</v>
      </c>
      <c r="E27" s="16" t="s">
        <v>188</v>
      </c>
      <c r="F27" s="16" t="s">
        <v>189</v>
      </c>
      <c r="G27" s="16" t="s">
        <v>184</v>
      </c>
      <c r="H27" s="16" t="s">
        <v>222</v>
      </c>
    </row>
    <row r="28" customFormat="false" ht="23.25" hidden="false" customHeight="true" outlineLevel="0" collapsed="false">
      <c r="A28" s="16" t="s">
        <v>92</v>
      </c>
      <c r="B28" s="16" t="str">
        <f aca="false">IFERROR(INDEX(Skafferi!$C$2:$C$43,MATCH(A28,Skafferi!$A$2:$A$43,0)),"")</f>
        <v>Hushållsost</v>
      </c>
      <c r="C28" s="16" t="s">
        <v>218</v>
      </c>
      <c r="D28" s="16" t="s">
        <v>219</v>
      </c>
      <c r="E28" s="16" t="s">
        <v>220</v>
      </c>
      <c r="F28" s="16" t="s">
        <v>221</v>
      </c>
      <c r="G28" s="16" t="s">
        <v>184</v>
      </c>
      <c r="H28" s="16" t="s">
        <v>223</v>
      </c>
    </row>
    <row r="29" customFormat="false" ht="23.25" hidden="false" customHeight="true" outlineLevel="0" collapsed="false">
      <c r="A29" s="17" t="s">
        <v>94</v>
      </c>
      <c r="B29" s="17" t="str">
        <f aca="false">IFERROR(INDEX(Skafferi!$C$2:$C$43,MATCH(A29,Skafferi!$A$2:$A$43,0)),"")</f>
        <v>Valnötter</v>
      </c>
      <c r="C29" s="17" t="s">
        <v>188</v>
      </c>
      <c r="D29" s="17" t="s">
        <v>188</v>
      </c>
      <c r="E29" s="17" t="s">
        <v>188</v>
      </c>
      <c r="F29" s="17" t="s">
        <v>188</v>
      </c>
      <c r="G29" s="17" t="s">
        <v>224</v>
      </c>
      <c r="H29" s="17" t="s">
        <v>225</v>
      </c>
    </row>
    <row r="30" customFormat="false" ht="23.25" hidden="false" customHeight="true" outlineLevel="0" collapsed="false">
      <c r="A30" s="16" t="s">
        <v>97</v>
      </c>
      <c r="B30" s="16" t="str">
        <f aca="false">IFERROR(INDEX(Skafferi!$C$2:$C$43,MATCH(A30,Skafferi!$A$2:$A$43,0)),"")</f>
        <v>Persilja</v>
      </c>
      <c r="C30" s="16" t="s">
        <v>226</v>
      </c>
      <c r="D30" s="16" t="s">
        <v>227</v>
      </c>
      <c r="E30" s="16" t="s">
        <v>228</v>
      </c>
      <c r="F30" s="16" t="s">
        <v>229</v>
      </c>
      <c r="G30" s="16" t="s">
        <v>184</v>
      </c>
      <c r="H30" s="16" t="s">
        <v>230</v>
      </c>
    </row>
    <row r="31" customFormat="false" ht="23.25" hidden="false" customHeight="true" outlineLevel="0" collapsed="false">
      <c r="A31" s="16" t="s">
        <v>101</v>
      </c>
      <c r="B31" s="16" t="str">
        <f aca="false">IFERROR(INDEX(Skafferi!$C$2:$C$43,MATCH(A31,Skafferi!$A$2:$A$43,0)),"")</f>
        <v>Dill</v>
      </c>
      <c r="C31" s="16" t="s">
        <v>226</v>
      </c>
      <c r="D31" s="16" t="s">
        <v>227</v>
      </c>
      <c r="E31" s="16" t="s">
        <v>228</v>
      </c>
      <c r="F31" s="16" t="s">
        <v>229</v>
      </c>
      <c r="G31" s="16" t="s">
        <v>184</v>
      </c>
      <c r="H31" s="16" t="s">
        <v>230</v>
      </c>
    </row>
    <row r="32" customFormat="false" ht="23.25" hidden="false" customHeight="true" outlineLevel="0" collapsed="false">
      <c r="A32" s="16" t="s">
        <v>103</v>
      </c>
      <c r="B32" s="16" t="str">
        <f aca="false">IFERROR(INDEX(Skafferi!$C$2:$C$43,MATCH(A32,Skafferi!$A$2:$A$43,0)),"")</f>
        <v>Timjan</v>
      </c>
      <c r="C32" s="16" t="s">
        <v>226</v>
      </c>
      <c r="D32" s="16" t="s">
        <v>227</v>
      </c>
      <c r="E32" s="16" t="s">
        <v>228</v>
      </c>
      <c r="F32" s="16" t="s">
        <v>229</v>
      </c>
      <c r="G32" s="16" t="s">
        <v>184</v>
      </c>
      <c r="H32" s="16" t="s">
        <v>230</v>
      </c>
    </row>
    <row r="33" customFormat="false" ht="23.25" hidden="false" customHeight="true" outlineLevel="0" collapsed="false">
      <c r="A33" s="17" t="s">
        <v>105</v>
      </c>
      <c r="B33" s="17" t="str">
        <f aca="false">IFERROR(INDEX(Skafferi!$C$2:$C$43,MATCH(A33,Skafferi!$A$2:$A$43,0)),"")</f>
        <v>Svartpeppar</v>
      </c>
      <c r="C33" s="17" t="s">
        <v>188</v>
      </c>
      <c r="D33" s="17" t="s">
        <v>188</v>
      </c>
      <c r="E33" s="17" t="s">
        <v>188</v>
      </c>
      <c r="F33" s="17" t="s">
        <v>188</v>
      </c>
      <c r="G33" s="17" t="s">
        <v>224</v>
      </c>
      <c r="H33" s="17" t="s">
        <v>225</v>
      </c>
    </row>
    <row r="34" customFormat="false" ht="23.25" hidden="false" customHeight="true" outlineLevel="0" collapsed="false">
      <c r="A34" s="16" t="s">
        <v>107</v>
      </c>
      <c r="B34" s="16" t="str">
        <f aca="false">IFERROR(INDEX(Skafferi!$C$2:$C$43,MATCH(A34,Skafferi!$A$2:$A$43,0)),"")</f>
        <v>Rapsolja</v>
      </c>
      <c r="C34" s="16" t="s">
        <v>226</v>
      </c>
      <c r="D34" s="16" t="s">
        <v>227</v>
      </c>
      <c r="E34" s="16" t="s">
        <v>228</v>
      </c>
      <c r="F34" s="16" t="s">
        <v>229</v>
      </c>
      <c r="G34" s="16" t="s">
        <v>184</v>
      </c>
      <c r="H34" s="16" t="s">
        <v>231</v>
      </c>
    </row>
    <row r="35" customFormat="false" ht="15" hidden="false" customHeight="true" outlineLevel="0" collapsed="false">
      <c r="A35" s="17" t="s">
        <v>110</v>
      </c>
      <c r="B35" s="17" t="str">
        <f aca="false">IFERROR(INDEX(Skafferi!$C$2:$C$43,MATCH(A35,Skafferi!$A$2:$A$43,0)),"")</f>
        <v>Olivolja</v>
      </c>
      <c r="C35" s="17" t="s">
        <v>188</v>
      </c>
      <c r="D35" s="17" t="s">
        <v>188</v>
      </c>
      <c r="E35" s="17" t="s">
        <v>188</v>
      </c>
      <c r="F35" s="17" t="s">
        <v>188</v>
      </c>
      <c r="G35" s="17" t="s">
        <v>224</v>
      </c>
      <c r="H35" s="17" t="s">
        <v>232</v>
      </c>
    </row>
    <row r="36" customFormat="false" ht="23.25" hidden="false" customHeight="true" outlineLevel="0" collapsed="false">
      <c r="A36" s="16" t="s">
        <v>112</v>
      </c>
      <c r="B36" s="16" t="str">
        <f aca="false">IFERROR(INDEX(Skafferi!$C$2:$C$43,MATCH(A36,Skafferi!$A$2:$A$43,0)),"")</f>
        <v>Äppelcidervinäger</v>
      </c>
      <c r="C36" s="16" t="s">
        <v>226</v>
      </c>
      <c r="D36" s="16" t="s">
        <v>227</v>
      </c>
      <c r="E36" s="16" t="s">
        <v>228</v>
      </c>
      <c r="F36" s="16" t="s">
        <v>233</v>
      </c>
      <c r="G36" s="16" t="s">
        <v>184</v>
      </c>
      <c r="H36" s="16" t="s">
        <v>234</v>
      </c>
    </row>
    <row r="37" customFormat="false" ht="23.25" hidden="false" customHeight="true" outlineLevel="0" collapsed="false">
      <c r="A37" s="17" t="s">
        <v>115</v>
      </c>
      <c r="B37" s="17" t="str">
        <f aca="false">IFERROR(INDEX(Skafferi!$C$2:$C$43,MATCH(A37,Skafferi!$A$2:$A$43,0)),"")</f>
        <v>Surkål</v>
      </c>
      <c r="C37" s="17" t="s">
        <v>188</v>
      </c>
      <c r="D37" s="17" t="s">
        <v>188</v>
      </c>
      <c r="E37" s="17" t="s">
        <v>188</v>
      </c>
      <c r="F37" s="17" t="s">
        <v>188</v>
      </c>
      <c r="G37" s="17" t="s">
        <v>191</v>
      </c>
      <c r="H37" s="17" t="s">
        <v>235</v>
      </c>
    </row>
    <row r="38" customFormat="false" ht="23.25" hidden="false" customHeight="true" outlineLevel="0" collapsed="false">
      <c r="A38" s="17" t="s">
        <v>117</v>
      </c>
      <c r="B38" s="17" t="str">
        <f aca="false">IFERROR(INDEX(Skafferi!$C$2:$C$43,MATCH(A38,Skafferi!$A$2:$A$43,0)),"")</f>
        <v>Champinjon</v>
      </c>
      <c r="C38" s="17" t="s">
        <v>188</v>
      </c>
      <c r="D38" s="17" t="s">
        <v>188</v>
      </c>
      <c r="E38" s="17" t="s">
        <v>188</v>
      </c>
      <c r="F38" s="17" t="s">
        <v>188</v>
      </c>
      <c r="G38" s="17" t="s">
        <v>191</v>
      </c>
      <c r="H38" s="17" t="s">
        <v>236</v>
      </c>
    </row>
    <row r="39" customFormat="false" ht="23.25" hidden="false" customHeight="true" outlineLevel="0" collapsed="false">
      <c r="A39" s="17" t="s">
        <v>120</v>
      </c>
      <c r="B39" s="17" t="str">
        <f aca="false">IFERROR(INDEX(Skafferi!$C$2:$C$43,MATCH(A39,Skafferi!$A$2:$A$43,0)),"")</f>
        <v>Kantareller</v>
      </c>
      <c r="C39" s="17" t="s">
        <v>188</v>
      </c>
      <c r="D39" s="17" t="s">
        <v>188</v>
      </c>
      <c r="E39" s="17" t="s">
        <v>188</v>
      </c>
      <c r="F39" s="17" t="s">
        <v>188</v>
      </c>
      <c r="G39" s="17" t="s">
        <v>191</v>
      </c>
      <c r="H39" s="17" t="s">
        <v>237</v>
      </c>
    </row>
    <row r="40" customFormat="false" ht="34.5" hidden="false" customHeight="true" outlineLevel="0" collapsed="false">
      <c r="A40" s="17" t="s">
        <v>122</v>
      </c>
      <c r="B40" s="17" t="str">
        <f aca="false">IFERROR(INDEX(Skafferi!$C$2:$C$43,MATCH(A40,Skafferi!$A$2:$A$43,0)),"")</f>
        <v>Havssalt</v>
      </c>
      <c r="C40" s="17" t="s">
        <v>188</v>
      </c>
      <c r="D40" s="17" t="s">
        <v>188</v>
      </c>
      <c r="E40" s="17" t="s">
        <v>188</v>
      </c>
      <c r="F40" s="17" t="s">
        <v>188</v>
      </c>
      <c r="G40" s="17" t="s">
        <v>191</v>
      </c>
      <c r="H40" s="17" t="s">
        <v>238</v>
      </c>
    </row>
    <row r="41" customFormat="false" ht="23.25" hidden="false" customHeight="true" outlineLevel="0" collapsed="false">
      <c r="A41" s="16" t="s">
        <v>125</v>
      </c>
      <c r="B41" s="16" t="str">
        <f aca="false">IFERROR(INDEX(Skafferi!$C$2:$C$43,MATCH(A41,Skafferi!$A$2:$A$43,0)),"")</f>
        <v>Honung</v>
      </c>
      <c r="C41" s="16" t="s">
        <v>239</v>
      </c>
      <c r="D41" s="16" t="s">
        <v>240</v>
      </c>
      <c r="E41" s="16" t="s">
        <v>241</v>
      </c>
      <c r="F41" s="16" t="s">
        <v>242</v>
      </c>
      <c r="G41" s="16" t="s">
        <v>184</v>
      </c>
      <c r="H41" s="16" t="s">
        <v>243</v>
      </c>
    </row>
    <row r="42" customFormat="false" ht="23.25" hidden="false" customHeight="true" outlineLevel="0" collapsed="false">
      <c r="A42" s="16" t="s">
        <v>128</v>
      </c>
      <c r="B42" s="16" t="str">
        <f aca="false">IFERROR(INDEX(Skafferi!$C$2:$C$43,MATCH(A42,Skafferi!$A$2:$A$43,0)),"")</f>
        <v>Surdegsbröd</v>
      </c>
      <c r="C42" s="16" t="s">
        <v>244</v>
      </c>
      <c r="D42" s="16" t="s">
        <v>245</v>
      </c>
      <c r="E42" s="16" t="s">
        <v>246</v>
      </c>
      <c r="F42" s="16" t="s">
        <v>247</v>
      </c>
      <c r="G42" s="16" t="s">
        <v>184</v>
      </c>
      <c r="H42" s="16" t="s">
        <v>248</v>
      </c>
    </row>
    <row r="43" customFormat="false" ht="23.25" hidden="false" customHeight="true" outlineLevel="0" collapsed="false">
      <c r="A43" s="17" t="s">
        <v>131</v>
      </c>
      <c r="B43" s="17" t="str">
        <f aca="false">IFERROR(INDEX(Skafferi!$C$2:$C$43,MATCH(A43,Skafferi!$A$2:$A$43,0)),"")</f>
        <v>Knäckebröd/rågbröd</v>
      </c>
      <c r="C43" s="17" t="s">
        <v>188</v>
      </c>
      <c r="D43" s="17" t="s">
        <v>188</v>
      </c>
      <c r="E43" s="17" t="s">
        <v>188</v>
      </c>
      <c r="F43" s="17" t="s">
        <v>188</v>
      </c>
      <c r="G43" s="17" t="s">
        <v>191</v>
      </c>
      <c r="H43" s="17" t="s">
        <v>249</v>
      </c>
    </row>
    <row r="44" customFormat="false" ht="23.25" hidden="false" customHeight="true" outlineLevel="0" collapsed="false"/>
    <row r="45" customFormat="false" ht="23.25" hidden="false" customHeight="true" outlineLevel="0" collapsed="false"/>
  </sheetData>
  <autoFilter ref="A1:H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5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5"/>
    <col collapsed="false" customWidth="true" hidden="false" outlineLevel="0" max="10" min="9" style="1" width="11"/>
    <col collapsed="false" customWidth="true" hidden="false" outlineLevel="0" max="11" min="11" style="1" width="20"/>
    <col collapsed="false" customWidth="true" hidden="false" outlineLevel="0" max="12" min="12" style="1" width="38"/>
  </cols>
  <sheetData>
    <row r="1" customFormat="false" ht="23.25" hidden="false" customHeight="true" outlineLevel="0" collapsed="false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250</v>
      </c>
      <c r="F1" s="15" t="s">
        <v>251</v>
      </c>
      <c r="G1" s="15" t="s">
        <v>252</v>
      </c>
      <c r="H1" s="15" t="s">
        <v>253</v>
      </c>
      <c r="I1" s="15" t="s">
        <v>254</v>
      </c>
      <c r="J1" s="15" t="s">
        <v>255</v>
      </c>
      <c r="K1" s="15" t="s">
        <v>256</v>
      </c>
      <c r="L1" s="15" t="s">
        <v>257</v>
      </c>
    </row>
    <row r="2" customFormat="false" ht="15" hidden="false" customHeight="true" outlineLevel="0" collapsed="false">
      <c r="A2" s="18" t="s">
        <v>30</v>
      </c>
      <c r="B2" s="18" t="s">
        <v>31</v>
      </c>
      <c r="C2" s="18" t="s">
        <v>32</v>
      </c>
      <c r="D2" s="18" t="s">
        <v>33</v>
      </c>
      <c r="E2" s="19" t="n">
        <v>24</v>
      </c>
      <c r="F2" s="19" t="n">
        <v>31</v>
      </c>
      <c r="G2" s="19" t="n">
        <v>22</v>
      </c>
      <c r="H2" s="19" t="n">
        <v>20</v>
      </c>
      <c r="I2" s="20" t="n">
        <f aca="false">IFERROR((H2-E2)/E2,"")</f>
        <v>-0.166666666666667</v>
      </c>
      <c r="J2" s="20" t="n">
        <f aca="false">IFERROR((H2-G2)/G2,"")</f>
        <v>-0.0909090909090909</v>
      </c>
      <c r="K2" s="18" t="s">
        <v>151</v>
      </c>
      <c r="L2" s="18"/>
    </row>
    <row r="3" customFormat="false" ht="15" hidden="false" customHeight="true" outlineLevel="0" collapsed="false">
      <c r="A3" s="18" t="s">
        <v>34</v>
      </c>
      <c r="B3" s="18" t="s">
        <v>31</v>
      </c>
      <c r="C3" s="18" t="s">
        <v>35</v>
      </c>
      <c r="D3" s="18" t="s">
        <v>33</v>
      </c>
      <c r="E3" s="19" t="n">
        <v>20</v>
      </c>
      <c r="F3" s="19" t="n">
        <v>26</v>
      </c>
      <c r="G3" s="19" t="n">
        <v>22</v>
      </c>
      <c r="H3" s="19" t="n">
        <v>20</v>
      </c>
      <c r="I3" s="20" t="n">
        <f aca="false">IFERROR((H3-E3)/E3,"")</f>
        <v>0</v>
      </c>
      <c r="J3" s="20" t="n">
        <f aca="false">IFERROR((H3-G3)/G3,"")</f>
        <v>-0.0909090909090909</v>
      </c>
      <c r="K3" s="18" t="s">
        <v>153</v>
      </c>
      <c r="L3" s="18"/>
    </row>
    <row r="4" customFormat="false" ht="15" hidden="false" customHeight="true" outlineLevel="0" collapsed="false">
      <c r="A4" s="18" t="s">
        <v>36</v>
      </c>
      <c r="B4" s="18" t="s">
        <v>31</v>
      </c>
      <c r="C4" s="18" t="s">
        <v>37</v>
      </c>
      <c r="D4" s="18" t="s">
        <v>33</v>
      </c>
      <c r="E4" s="19" t="n">
        <v>21</v>
      </c>
      <c r="F4" s="19" t="n">
        <v>27</v>
      </c>
      <c r="G4" s="19" t="n">
        <v>22</v>
      </c>
      <c r="H4" s="19" t="n">
        <v>20</v>
      </c>
      <c r="I4" s="20" t="n">
        <f aca="false">IFERROR((H4-E4)/E4,"")</f>
        <v>-0.0476190476190476</v>
      </c>
      <c r="J4" s="20" t="n">
        <f aca="false">IFERROR((H4-G4)/G4,"")</f>
        <v>-0.0909090909090909</v>
      </c>
      <c r="K4" s="18" t="s">
        <v>153</v>
      </c>
      <c r="L4" s="18"/>
    </row>
    <row r="5" customFormat="false" ht="15" hidden="false" customHeight="true" outlineLevel="0" collapsed="false">
      <c r="A5" s="18" t="s">
        <v>38</v>
      </c>
      <c r="B5" s="18" t="s">
        <v>31</v>
      </c>
      <c r="C5" s="18" t="s">
        <v>39</v>
      </c>
      <c r="D5" s="18" t="s">
        <v>33</v>
      </c>
      <c r="E5" s="19" t="n">
        <v>15</v>
      </c>
      <c r="F5" s="19" t="n">
        <v>20</v>
      </c>
      <c r="G5" s="19" t="n">
        <v>17</v>
      </c>
      <c r="H5" s="19" t="n">
        <v>15</v>
      </c>
      <c r="I5" s="20" t="n">
        <f aca="false">IFERROR((H5-E5)/E5,"")</f>
        <v>0</v>
      </c>
      <c r="J5" s="20" t="n">
        <f aca="false">IFERROR((H5-G5)/G5,"")</f>
        <v>-0.117647058823529</v>
      </c>
      <c r="K5" s="18" t="s">
        <v>153</v>
      </c>
      <c r="L5" s="18"/>
    </row>
    <row r="6" customFormat="false" ht="15" hidden="false" customHeight="true" outlineLevel="0" collapsed="false">
      <c r="A6" s="18" t="s">
        <v>40</v>
      </c>
      <c r="B6" s="18" t="s">
        <v>31</v>
      </c>
      <c r="C6" s="18" t="s">
        <v>41</v>
      </c>
      <c r="D6" s="18" t="s">
        <v>33</v>
      </c>
      <c r="E6" s="19" t="n">
        <v>45</v>
      </c>
      <c r="F6" s="19" t="n">
        <v>60</v>
      </c>
      <c r="G6" s="19" t="n">
        <v>55</v>
      </c>
      <c r="H6" s="19" t="n">
        <v>50</v>
      </c>
      <c r="I6" s="20" t="n">
        <f aca="false">IFERROR((H6-E6)/E6,"")</f>
        <v>0.111111111111111</v>
      </c>
      <c r="J6" s="20" t="n">
        <f aca="false">IFERROR((H6-G6)/G6,"")</f>
        <v>-0.0909090909090909</v>
      </c>
      <c r="K6" s="18" t="s">
        <v>153</v>
      </c>
      <c r="L6" s="18" t="s">
        <v>258</v>
      </c>
    </row>
    <row r="7" customFormat="false" ht="15" hidden="false" customHeight="true" outlineLevel="0" collapsed="false">
      <c r="A7" s="18" t="s">
        <v>42</v>
      </c>
      <c r="B7" s="18" t="s">
        <v>43</v>
      </c>
      <c r="C7" s="18" t="s">
        <v>44</v>
      </c>
      <c r="D7" s="18" t="s">
        <v>33</v>
      </c>
      <c r="E7" s="19" t="n">
        <v>30</v>
      </c>
      <c r="F7" s="19" t="n">
        <v>40</v>
      </c>
      <c r="G7" s="19" t="n">
        <v>30</v>
      </c>
      <c r="H7" s="19" t="n">
        <v>27</v>
      </c>
      <c r="I7" s="20" t="n">
        <f aca="false">IFERROR((H7-E7)/E7,"")</f>
        <v>-0.1</v>
      </c>
      <c r="J7" s="20" t="n">
        <f aca="false">IFERROR((H7-G7)/G7,"")</f>
        <v>-0.1</v>
      </c>
      <c r="K7" s="18" t="s">
        <v>153</v>
      </c>
      <c r="L7" s="18" t="s">
        <v>259</v>
      </c>
    </row>
    <row r="8" customFormat="false" ht="15" hidden="false" customHeight="true" outlineLevel="0" collapsed="false">
      <c r="A8" s="18" t="s">
        <v>45</v>
      </c>
      <c r="B8" s="18" t="s">
        <v>43</v>
      </c>
      <c r="C8" s="18" t="s">
        <v>46</v>
      </c>
      <c r="D8" s="18" t="s">
        <v>33</v>
      </c>
      <c r="E8" s="19" t="n">
        <v>32</v>
      </c>
      <c r="F8" s="19" t="n">
        <v>42</v>
      </c>
      <c r="G8" s="19" t="n">
        <v>32</v>
      </c>
      <c r="H8" s="19" t="n">
        <v>29</v>
      </c>
      <c r="I8" s="20" t="n">
        <f aca="false">IFERROR((H8-E8)/E8,"")</f>
        <v>-0.09375</v>
      </c>
      <c r="J8" s="20" t="n">
        <f aca="false">IFERROR((H8-G8)/G8,"")</f>
        <v>-0.09375</v>
      </c>
      <c r="K8" s="18" t="s">
        <v>153</v>
      </c>
      <c r="L8" s="18" t="s">
        <v>259</v>
      </c>
    </row>
    <row r="9" customFormat="false" ht="15" hidden="false" customHeight="true" outlineLevel="0" collapsed="false">
      <c r="A9" s="18" t="s">
        <v>47</v>
      </c>
      <c r="B9" s="18" t="s">
        <v>43</v>
      </c>
      <c r="C9" s="18" t="s">
        <v>48</v>
      </c>
      <c r="D9" s="18" t="s">
        <v>33</v>
      </c>
      <c r="E9" s="19" t="n">
        <v>75</v>
      </c>
      <c r="F9" s="19" t="n">
        <v>95</v>
      </c>
      <c r="G9" s="19" t="n">
        <v>85</v>
      </c>
      <c r="H9" s="19" t="n">
        <v>77</v>
      </c>
      <c r="I9" s="20" t="n">
        <f aca="false">IFERROR((H9-E9)/E9,"")</f>
        <v>0.0266666666666667</v>
      </c>
      <c r="J9" s="20" t="n">
        <f aca="false">IFERROR((H9-G9)/G9,"")</f>
        <v>-0.0941176470588235</v>
      </c>
      <c r="K9" s="18" t="s">
        <v>153</v>
      </c>
      <c r="L9" s="18" t="s">
        <v>259</v>
      </c>
    </row>
    <row r="10" customFormat="false" ht="15" hidden="false" customHeight="true" outlineLevel="0" collapsed="false">
      <c r="A10" s="18" t="s">
        <v>49</v>
      </c>
      <c r="B10" s="18" t="s">
        <v>43</v>
      </c>
      <c r="C10" s="18" t="s">
        <v>50</v>
      </c>
      <c r="D10" s="18" t="s">
        <v>33</v>
      </c>
      <c r="E10" s="19" t="n">
        <v>100</v>
      </c>
      <c r="F10" s="19" t="n">
        <v>120</v>
      </c>
      <c r="G10" s="19" t="n">
        <v>60</v>
      </c>
      <c r="H10" s="19" t="n">
        <v>54</v>
      </c>
      <c r="I10" s="20" t="n">
        <f aca="false">IFERROR((H10-E10)/E10,"")</f>
        <v>-0.46</v>
      </c>
      <c r="J10" s="20" t="n">
        <f aca="false">IFERROR((H10-G10)/G10,"")</f>
        <v>-0.1</v>
      </c>
      <c r="K10" s="18" t="s">
        <v>153</v>
      </c>
      <c r="L10" s="18" t="s">
        <v>260</v>
      </c>
    </row>
    <row r="11" customFormat="false" ht="15" hidden="false" customHeight="true" outlineLevel="0" collapsed="false">
      <c r="A11" s="18" t="s">
        <v>51</v>
      </c>
      <c r="B11" s="18" t="s">
        <v>52</v>
      </c>
      <c r="C11" s="18" t="s">
        <v>53</v>
      </c>
      <c r="D11" s="18" t="s">
        <v>33</v>
      </c>
      <c r="E11" s="19" t="n">
        <v>30</v>
      </c>
      <c r="F11" s="19" t="n">
        <v>38</v>
      </c>
      <c r="G11" s="19" t="n">
        <v>37</v>
      </c>
      <c r="H11" s="19" t="n">
        <v>33</v>
      </c>
      <c r="I11" s="20" t="n">
        <f aca="false">IFERROR((H11-E11)/E11,"")</f>
        <v>0.1</v>
      </c>
      <c r="J11" s="20" t="n">
        <f aca="false">IFERROR((H11-G11)/G11,"")</f>
        <v>-0.108108108108108</v>
      </c>
      <c r="K11" s="18" t="s">
        <v>153</v>
      </c>
      <c r="L11" s="18"/>
    </row>
    <row r="12" customFormat="false" ht="15" hidden="false" customHeight="true" outlineLevel="0" collapsed="false">
      <c r="A12" s="18" t="s">
        <v>54</v>
      </c>
      <c r="B12" s="18" t="s">
        <v>52</v>
      </c>
      <c r="C12" s="18" t="s">
        <v>55</v>
      </c>
      <c r="D12" s="18" t="s">
        <v>33</v>
      </c>
      <c r="E12" s="19" t="n">
        <v>35</v>
      </c>
      <c r="F12" s="19" t="n">
        <v>44</v>
      </c>
      <c r="G12" s="19" t="n">
        <v>50</v>
      </c>
      <c r="H12" s="19" t="n">
        <v>45</v>
      </c>
      <c r="I12" s="20" t="n">
        <f aca="false">IFERROR((H12-E12)/E12,"")</f>
        <v>0.285714285714286</v>
      </c>
      <c r="J12" s="20" t="n">
        <f aca="false">IFERROR((H12-G12)/G12,"")</f>
        <v>-0.1</v>
      </c>
      <c r="K12" s="18" t="s">
        <v>153</v>
      </c>
      <c r="L12" s="18" t="s">
        <v>261</v>
      </c>
    </row>
    <row r="13" customFormat="false" ht="15" hidden="false" customHeight="true" outlineLevel="0" collapsed="false">
      <c r="A13" s="18" t="s">
        <v>56</v>
      </c>
      <c r="B13" s="18" t="s">
        <v>52</v>
      </c>
      <c r="C13" s="18" t="s">
        <v>57</v>
      </c>
      <c r="D13" s="18" t="s">
        <v>33</v>
      </c>
      <c r="E13" s="19" t="n">
        <v>40</v>
      </c>
      <c r="F13" s="19" t="n">
        <v>48</v>
      </c>
      <c r="G13" s="19" t="n">
        <v>42</v>
      </c>
      <c r="H13" s="19" t="n">
        <v>38</v>
      </c>
      <c r="I13" s="20" t="n">
        <f aca="false">IFERROR((H13-E13)/E13,"")</f>
        <v>-0.05</v>
      </c>
      <c r="J13" s="20" t="n">
        <f aca="false">IFERROR((H13-G13)/G13,"")</f>
        <v>-0.0952380952380952</v>
      </c>
      <c r="K13" s="18" t="s">
        <v>153</v>
      </c>
      <c r="L13" s="18" t="s">
        <v>262</v>
      </c>
    </row>
    <row r="14" customFormat="false" ht="15" hidden="false" customHeight="true" outlineLevel="0" collapsed="false">
      <c r="A14" s="18" t="s">
        <v>58</v>
      </c>
      <c r="B14" s="18" t="s">
        <v>59</v>
      </c>
      <c r="C14" s="18" t="s">
        <v>60</v>
      </c>
      <c r="D14" s="18" t="s">
        <v>33</v>
      </c>
      <c r="E14" s="19" t="n">
        <v>17</v>
      </c>
      <c r="F14" s="19" t="n">
        <v>25</v>
      </c>
      <c r="G14" s="19" t="n">
        <v>35</v>
      </c>
      <c r="H14" s="19" t="n">
        <v>31</v>
      </c>
      <c r="I14" s="20" t="n">
        <f aca="false">IFERROR((H14-E14)/E14,"")</f>
        <v>0.823529411764706</v>
      </c>
      <c r="J14" s="20" t="n">
        <f aca="false">IFERROR((H14-G14)/G14,"")</f>
        <v>-0.114285714285714</v>
      </c>
      <c r="K14" s="18" t="s">
        <v>151</v>
      </c>
      <c r="L14" s="18" t="s">
        <v>263</v>
      </c>
    </row>
    <row r="15" customFormat="false" ht="15" hidden="false" customHeight="true" outlineLevel="0" collapsed="false">
      <c r="A15" s="18" t="s">
        <v>61</v>
      </c>
      <c r="B15" s="18" t="s">
        <v>59</v>
      </c>
      <c r="C15" s="18" t="s">
        <v>62</v>
      </c>
      <c r="D15" s="18" t="s">
        <v>33</v>
      </c>
      <c r="E15" s="19" t="n">
        <v>20</v>
      </c>
      <c r="F15" s="19" t="n">
        <v>28</v>
      </c>
      <c r="G15" s="19" t="n">
        <v>30</v>
      </c>
      <c r="H15" s="19" t="n">
        <v>27</v>
      </c>
      <c r="I15" s="20" t="n">
        <f aca="false">IFERROR((H15-E15)/E15,"")</f>
        <v>0.35</v>
      </c>
      <c r="J15" s="20" t="n">
        <f aca="false">IFERROR((H15-G15)/G15,"")</f>
        <v>-0.1</v>
      </c>
      <c r="K15" s="18" t="s">
        <v>153</v>
      </c>
      <c r="L15" s="18"/>
    </row>
    <row r="16" customFormat="false" ht="15" hidden="false" customHeight="true" outlineLevel="0" collapsed="false">
      <c r="A16" s="18" t="s">
        <v>63</v>
      </c>
      <c r="B16" s="18" t="s">
        <v>59</v>
      </c>
      <c r="C16" s="18" t="s">
        <v>64</v>
      </c>
      <c r="D16" s="18" t="s">
        <v>33</v>
      </c>
      <c r="E16" s="19" t="n">
        <v>12</v>
      </c>
      <c r="F16" s="19" t="n">
        <v>20</v>
      </c>
      <c r="G16" s="19" t="n">
        <v>25</v>
      </c>
      <c r="H16" s="19" t="n">
        <v>22</v>
      </c>
      <c r="I16" s="20" t="n">
        <f aca="false">IFERROR((H16-E16)/E16,"")</f>
        <v>0.833333333333333</v>
      </c>
      <c r="J16" s="20" t="n">
        <f aca="false">IFERROR((H16-G16)/G16,"")</f>
        <v>-0.12</v>
      </c>
      <c r="K16" s="18" t="s">
        <v>153</v>
      </c>
      <c r="L16" s="18"/>
    </row>
    <row r="17" customFormat="false" ht="15" hidden="false" customHeight="true" outlineLevel="0" collapsed="false">
      <c r="A17" s="18" t="s">
        <v>65</v>
      </c>
      <c r="B17" s="18" t="s">
        <v>59</v>
      </c>
      <c r="C17" s="18" t="s">
        <v>66</v>
      </c>
      <c r="D17" s="18" t="s">
        <v>33</v>
      </c>
      <c r="E17" s="19" t="n">
        <v>17</v>
      </c>
      <c r="F17" s="19" t="n">
        <v>24</v>
      </c>
      <c r="G17" s="19" t="n">
        <v>25</v>
      </c>
      <c r="H17" s="19" t="n">
        <v>22</v>
      </c>
      <c r="I17" s="20" t="n">
        <f aca="false">IFERROR((H17-E17)/E17,"")</f>
        <v>0.294117647058824</v>
      </c>
      <c r="J17" s="20" t="n">
        <f aca="false">IFERROR((H17-G17)/G17,"")</f>
        <v>-0.12</v>
      </c>
      <c r="K17" s="18" t="s">
        <v>153</v>
      </c>
      <c r="L17" s="18"/>
    </row>
    <row r="18" customFormat="false" ht="15" hidden="false" customHeight="true" outlineLevel="0" collapsed="false">
      <c r="A18" s="18" t="s">
        <v>67</v>
      </c>
      <c r="B18" s="18" t="s">
        <v>68</v>
      </c>
      <c r="C18" s="18" t="s">
        <v>69</v>
      </c>
      <c r="D18" s="18" t="s">
        <v>33</v>
      </c>
      <c r="E18" s="19" t="n">
        <v>105</v>
      </c>
      <c r="F18" s="19" t="n">
        <v>145</v>
      </c>
      <c r="G18" s="19" t="n">
        <v>120</v>
      </c>
      <c r="H18" s="19" t="n">
        <v>108</v>
      </c>
      <c r="I18" s="20" t="n">
        <f aca="false">IFERROR((H18-E18)/E18,"")</f>
        <v>0.0285714285714286</v>
      </c>
      <c r="J18" s="20" t="n">
        <f aca="false">IFERROR((H18-G18)/G18,"")</f>
        <v>-0.1</v>
      </c>
      <c r="K18" s="18" t="s">
        <v>151</v>
      </c>
      <c r="L18" s="18"/>
    </row>
    <row r="19" customFormat="false" ht="15" hidden="false" customHeight="true" outlineLevel="0" collapsed="false">
      <c r="A19" s="18" t="s">
        <v>70</v>
      </c>
      <c r="B19" s="18" t="s">
        <v>68</v>
      </c>
      <c r="C19" s="18" t="s">
        <v>71</v>
      </c>
      <c r="D19" s="18" t="s">
        <v>33</v>
      </c>
      <c r="E19" s="19" t="n">
        <v>110</v>
      </c>
      <c r="F19" s="19" t="n">
        <v>150</v>
      </c>
      <c r="G19" s="19" t="n">
        <v>125</v>
      </c>
      <c r="H19" s="19" t="n">
        <v>113</v>
      </c>
      <c r="I19" s="20" t="n">
        <f aca="false">IFERROR((H19-E19)/E19,"")</f>
        <v>0.0272727272727273</v>
      </c>
      <c r="J19" s="20" t="n">
        <f aca="false">IFERROR((H19-G19)/G19,"")</f>
        <v>-0.096</v>
      </c>
      <c r="K19" s="18" t="s">
        <v>153</v>
      </c>
      <c r="L19" s="18"/>
    </row>
    <row r="20" customFormat="false" ht="15" hidden="false" customHeight="true" outlineLevel="0" collapsed="false">
      <c r="A20" s="18" t="s">
        <v>72</v>
      </c>
      <c r="B20" s="18" t="s">
        <v>68</v>
      </c>
      <c r="C20" s="18" t="s">
        <v>73</v>
      </c>
      <c r="D20" s="18" t="s">
        <v>33</v>
      </c>
      <c r="E20" s="19" t="n">
        <v>115</v>
      </c>
      <c r="F20" s="19" t="n">
        <v>160</v>
      </c>
      <c r="G20" s="19" t="n">
        <v>155</v>
      </c>
      <c r="H20" s="19" t="n">
        <v>140</v>
      </c>
      <c r="I20" s="20" t="n">
        <f aca="false">IFERROR((H20-E20)/E20,"")</f>
        <v>0.217391304347826</v>
      </c>
      <c r="J20" s="20" t="n">
        <f aca="false">IFERROR((H20-G20)/G20,"")</f>
        <v>-0.0967741935483871</v>
      </c>
      <c r="K20" s="18" t="s">
        <v>153</v>
      </c>
      <c r="L20" s="18" t="s">
        <v>264</v>
      </c>
    </row>
    <row r="21" customFormat="false" ht="15" hidden="false" customHeight="true" outlineLevel="0" collapsed="false">
      <c r="A21" s="18" t="s">
        <v>74</v>
      </c>
      <c r="B21" s="18" t="s">
        <v>68</v>
      </c>
      <c r="C21" s="18" t="s">
        <v>75</v>
      </c>
      <c r="D21" s="18" t="s">
        <v>33</v>
      </c>
      <c r="E21" s="19" t="n">
        <v>185</v>
      </c>
      <c r="F21" s="19" t="n">
        <v>240</v>
      </c>
      <c r="G21" s="19" t="n">
        <v>215</v>
      </c>
      <c r="H21" s="19" t="n">
        <v>194</v>
      </c>
      <c r="I21" s="20" t="n">
        <f aca="false">IFERROR((H21-E21)/E21,"")</f>
        <v>0.0486486486486487</v>
      </c>
      <c r="J21" s="20" t="n">
        <f aca="false">IFERROR((H21-G21)/G21,"")</f>
        <v>-0.0976744186046512</v>
      </c>
      <c r="K21" s="18" t="s">
        <v>153</v>
      </c>
      <c r="L21" s="18" t="s">
        <v>265</v>
      </c>
    </row>
    <row r="22" customFormat="false" ht="15" hidden="false" customHeight="true" outlineLevel="0" collapsed="false">
      <c r="A22" s="18" t="s">
        <v>76</v>
      </c>
      <c r="B22" s="18" t="s">
        <v>77</v>
      </c>
      <c r="C22" s="18" t="s">
        <v>78</v>
      </c>
      <c r="D22" s="18" t="s">
        <v>33</v>
      </c>
      <c r="E22" s="19" t="n">
        <v>155</v>
      </c>
      <c r="F22" s="19" t="n">
        <v>190</v>
      </c>
      <c r="G22" s="19" t="n">
        <v>175</v>
      </c>
      <c r="H22" s="19" t="n">
        <v>158</v>
      </c>
      <c r="I22" s="20" t="n">
        <f aca="false">IFERROR((H22-E22)/E22,"")</f>
        <v>0.0193548387096774</v>
      </c>
      <c r="J22" s="20" t="n">
        <f aca="false">IFERROR((H22-G22)/G22,"")</f>
        <v>-0.0971428571428571</v>
      </c>
      <c r="K22" s="18" t="s">
        <v>153</v>
      </c>
      <c r="L22" s="18"/>
    </row>
    <row r="23" customFormat="false" ht="15" hidden="false" customHeight="true" outlineLevel="0" collapsed="false">
      <c r="A23" s="18" t="s">
        <v>79</v>
      </c>
      <c r="B23" s="18" t="s">
        <v>77</v>
      </c>
      <c r="C23" s="18" t="s">
        <v>80</v>
      </c>
      <c r="D23" s="18" t="s">
        <v>33</v>
      </c>
      <c r="E23" s="19" t="n">
        <v>65</v>
      </c>
      <c r="F23" s="19" t="n">
        <v>80</v>
      </c>
      <c r="G23" s="19" t="n">
        <v>55</v>
      </c>
      <c r="H23" s="19" t="n">
        <v>50</v>
      </c>
      <c r="I23" s="20" t="n">
        <f aca="false">IFERROR((H23-E23)/E23,"")</f>
        <v>-0.230769230769231</v>
      </c>
      <c r="J23" s="20" t="n">
        <f aca="false">IFERROR((H23-G23)/G23,"")</f>
        <v>-0.0909090909090909</v>
      </c>
      <c r="K23" s="18" t="s">
        <v>153</v>
      </c>
      <c r="L23" s="18" t="s">
        <v>266</v>
      </c>
    </row>
    <row r="24" customFormat="false" ht="15" hidden="false" customHeight="true" outlineLevel="0" collapsed="false">
      <c r="A24" s="18" t="s">
        <v>81</v>
      </c>
      <c r="B24" s="18" t="s">
        <v>77</v>
      </c>
      <c r="C24" s="18" t="s">
        <v>82</v>
      </c>
      <c r="D24" s="18" t="s">
        <v>33</v>
      </c>
      <c r="E24" s="19" t="n">
        <v>300</v>
      </c>
      <c r="F24" s="19"/>
      <c r="G24" s="19" t="n">
        <v>200</v>
      </c>
      <c r="H24" s="19" t="n">
        <v>180</v>
      </c>
      <c r="I24" s="20" t="n">
        <f aca="false">IFERROR((H24-E24)/E24,"")</f>
        <v>-0.4</v>
      </c>
      <c r="J24" s="20" t="n">
        <f aca="false">IFERROR((H24-G24)/G24,"")</f>
        <v>-0.1</v>
      </c>
      <c r="K24" s="18" t="s">
        <v>153</v>
      </c>
      <c r="L24" s="18" t="s">
        <v>267</v>
      </c>
    </row>
    <row r="25" customFormat="false" ht="15" hidden="false" customHeight="true" outlineLevel="0" collapsed="false">
      <c r="A25" s="18" t="s">
        <v>83</v>
      </c>
      <c r="B25" s="18" t="s">
        <v>84</v>
      </c>
      <c r="C25" s="18" t="s">
        <v>85</v>
      </c>
      <c r="D25" s="18" t="s">
        <v>86</v>
      </c>
      <c r="E25" s="19" t="n">
        <v>14</v>
      </c>
      <c r="F25" s="19" t="n">
        <v>17</v>
      </c>
      <c r="G25" s="19" t="n">
        <v>21</v>
      </c>
      <c r="H25" s="19" t="n">
        <v>19</v>
      </c>
      <c r="I25" s="20" t="n">
        <f aca="false">IFERROR((H25-E25)/E25,"")</f>
        <v>0.357142857142857</v>
      </c>
      <c r="J25" s="20" t="n">
        <f aca="false">IFERROR((H25-G25)/G25,"")</f>
        <v>-0.0952380952380952</v>
      </c>
      <c r="K25" s="18" t="s">
        <v>151</v>
      </c>
      <c r="L25" s="18"/>
    </row>
    <row r="26" customFormat="false" ht="15" hidden="false" customHeight="true" outlineLevel="0" collapsed="false">
      <c r="A26" s="18" t="s">
        <v>87</v>
      </c>
      <c r="B26" s="18" t="s">
        <v>84</v>
      </c>
      <c r="C26" s="18" t="s">
        <v>88</v>
      </c>
      <c r="D26" s="18" t="s">
        <v>33</v>
      </c>
      <c r="E26" s="19" t="n">
        <v>132</v>
      </c>
      <c r="F26" s="19" t="n">
        <v>165</v>
      </c>
      <c r="G26" s="19" t="n">
        <v>175</v>
      </c>
      <c r="H26" s="19" t="n">
        <v>158</v>
      </c>
      <c r="I26" s="20" t="n">
        <f aca="false">IFERROR((H26-E26)/E26,"")</f>
        <v>0.196969696969697</v>
      </c>
      <c r="J26" s="20" t="n">
        <f aca="false">IFERROR((H26-G26)/G26,"")</f>
        <v>-0.0971428571428571</v>
      </c>
      <c r="K26" s="18" t="s">
        <v>151</v>
      </c>
      <c r="L26" s="18"/>
    </row>
    <row r="27" customFormat="false" ht="15" hidden="false" customHeight="true" outlineLevel="0" collapsed="false">
      <c r="A27" s="18" t="s">
        <v>89</v>
      </c>
      <c r="B27" s="18" t="s">
        <v>84</v>
      </c>
      <c r="C27" s="18" t="s">
        <v>90</v>
      </c>
      <c r="D27" s="18" t="s">
        <v>91</v>
      </c>
      <c r="E27" s="19" t="n">
        <v>40</v>
      </c>
      <c r="F27" s="19" t="n">
        <v>57</v>
      </c>
      <c r="G27" s="19" t="n">
        <v>47</v>
      </c>
      <c r="H27" s="19" t="n">
        <v>42</v>
      </c>
      <c r="I27" s="20" t="n">
        <f aca="false">IFERROR((H27-E27)/E27,"")</f>
        <v>0.05</v>
      </c>
      <c r="J27" s="20" t="n">
        <f aca="false">IFERROR((H27-G27)/G27,"")</f>
        <v>-0.106382978723404</v>
      </c>
      <c r="K27" s="18" t="s">
        <v>151</v>
      </c>
      <c r="L27" s="18" t="s">
        <v>268</v>
      </c>
    </row>
    <row r="28" customFormat="false" ht="15" hidden="false" customHeight="true" outlineLevel="0" collapsed="false">
      <c r="A28" s="18" t="s">
        <v>92</v>
      </c>
      <c r="B28" s="18" t="s">
        <v>84</v>
      </c>
      <c r="C28" s="18" t="s">
        <v>93</v>
      </c>
      <c r="D28" s="18" t="s">
        <v>33</v>
      </c>
      <c r="E28" s="19" t="n">
        <v>125</v>
      </c>
      <c r="F28" s="19" t="n">
        <v>160</v>
      </c>
      <c r="G28" s="19" t="n">
        <v>185</v>
      </c>
      <c r="H28" s="19" t="n">
        <v>167</v>
      </c>
      <c r="I28" s="20" t="n">
        <f aca="false">IFERROR((H28-E28)/E28,"")</f>
        <v>0.336</v>
      </c>
      <c r="J28" s="20" t="n">
        <f aca="false">IFERROR((H28-G28)/G28,"")</f>
        <v>-0.0972972972972973</v>
      </c>
      <c r="K28" s="18" t="s">
        <v>151</v>
      </c>
      <c r="L28" s="18"/>
    </row>
    <row r="29" customFormat="false" ht="15" hidden="false" customHeight="true" outlineLevel="0" collapsed="false">
      <c r="A29" s="18" t="s">
        <v>94</v>
      </c>
      <c r="B29" s="18" t="s">
        <v>95</v>
      </c>
      <c r="C29" s="18" t="s">
        <v>96</v>
      </c>
      <c r="D29" s="18" t="s">
        <v>33</v>
      </c>
      <c r="E29" s="19" t="n">
        <v>150</v>
      </c>
      <c r="F29" s="19" t="n">
        <v>190</v>
      </c>
      <c r="G29" s="19"/>
      <c r="H29" s="19" t="n">
        <v>155</v>
      </c>
      <c r="I29" s="20" t="n">
        <f aca="false">IFERROR((H29-E29)/E29,"")</f>
        <v>0.0333333333333333</v>
      </c>
      <c r="J29" s="20" t="str">
        <f aca="false">IFERROR((H29-G29)/G29,"")</f>
        <v/>
      </c>
      <c r="K29" s="18" t="s">
        <v>153</v>
      </c>
      <c r="L29" s="18" t="s">
        <v>269</v>
      </c>
    </row>
    <row r="30" customFormat="false" ht="15" hidden="false" customHeight="true" outlineLevel="0" collapsed="false">
      <c r="A30" s="18" t="s">
        <v>97</v>
      </c>
      <c r="B30" s="18" t="s">
        <v>98</v>
      </c>
      <c r="C30" s="18" t="s">
        <v>99</v>
      </c>
      <c r="D30" s="18" t="s">
        <v>100</v>
      </c>
      <c r="E30" s="19" t="n">
        <v>18</v>
      </c>
      <c r="F30" s="19" t="n">
        <v>22</v>
      </c>
      <c r="G30" s="19" t="n">
        <v>15</v>
      </c>
      <c r="H30" s="19" t="n">
        <v>13</v>
      </c>
      <c r="I30" s="20" t="n">
        <f aca="false">IFERROR((H30-E30)/E30,"")</f>
        <v>-0.277777777777778</v>
      </c>
      <c r="J30" s="20" t="n">
        <f aca="false">IFERROR((H30-G30)/G30,"")</f>
        <v>-0.133333333333333</v>
      </c>
      <c r="K30" s="18" t="s">
        <v>153</v>
      </c>
      <c r="L30" s="18"/>
    </row>
    <row r="31" customFormat="false" ht="15" hidden="false" customHeight="true" outlineLevel="0" collapsed="false">
      <c r="A31" s="18" t="s">
        <v>101</v>
      </c>
      <c r="B31" s="18" t="s">
        <v>98</v>
      </c>
      <c r="C31" s="18" t="s">
        <v>102</v>
      </c>
      <c r="D31" s="18" t="s">
        <v>100</v>
      </c>
      <c r="E31" s="19" t="n">
        <v>18</v>
      </c>
      <c r="F31" s="19" t="n">
        <v>22</v>
      </c>
      <c r="G31" s="19" t="n">
        <v>15</v>
      </c>
      <c r="H31" s="19" t="n">
        <v>13</v>
      </c>
      <c r="I31" s="20" t="n">
        <f aca="false">IFERROR((H31-E31)/E31,"")</f>
        <v>-0.277777777777778</v>
      </c>
      <c r="J31" s="20" t="n">
        <f aca="false">IFERROR((H31-G31)/G31,"")</f>
        <v>-0.133333333333333</v>
      </c>
      <c r="K31" s="18" t="s">
        <v>153</v>
      </c>
      <c r="L31" s="18"/>
    </row>
    <row r="32" customFormat="false" ht="15" hidden="false" customHeight="true" outlineLevel="0" collapsed="false">
      <c r="A32" s="18" t="s">
        <v>103</v>
      </c>
      <c r="B32" s="18" t="s">
        <v>98</v>
      </c>
      <c r="C32" s="18" t="s">
        <v>104</v>
      </c>
      <c r="D32" s="18" t="s">
        <v>100</v>
      </c>
      <c r="E32" s="19" t="n">
        <v>20</v>
      </c>
      <c r="F32" s="19" t="n">
        <v>25</v>
      </c>
      <c r="G32" s="19" t="n">
        <v>18</v>
      </c>
      <c r="H32" s="19" t="n">
        <v>16</v>
      </c>
      <c r="I32" s="20" t="n">
        <f aca="false">IFERROR((H32-E32)/E32,"")</f>
        <v>-0.2</v>
      </c>
      <c r="J32" s="20" t="n">
        <f aca="false">IFERROR((H32-G32)/G32,"")</f>
        <v>-0.111111111111111</v>
      </c>
      <c r="K32" s="18" t="s">
        <v>153</v>
      </c>
      <c r="L32" s="18"/>
    </row>
    <row r="33" customFormat="false" ht="15" hidden="false" customHeight="true" outlineLevel="0" collapsed="false">
      <c r="A33" s="18" t="s">
        <v>105</v>
      </c>
      <c r="B33" s="18" t="s">
        <v>98</v>
      </c>
      <c r="C33" s="18" t="s">
        <v>106</v>
      </c>
      <c r="D33" s="18" t="s">
        <v>33</v>
      </c>
      <c r="E33" s="19" t="n">
        <v>200</v>
      </c>
      <c r="F33" s="19" t="n">
        <v>240</v>
      </c>
      <c r="G33" s="19"/>
      <c r="H33" s="19" t="n">
        <v>210</v>
      </c>
      <c r="I33" s="20" t="n">
        <f aca="false">IFERROR((H33-E33)/E33,"")</f>
        <v>0.05</v>
      </c>
      <c r="J33" s="20" t="str">
        <f aca="false">IFERROR((H33-G33)/G33,"")</f>
        <v/>
      </c>
      <c r="K33" s="18" t="s">
        <v>153</v>
      </c>
      <c r="L33" s="18" t="s">
        <v>270</v>
      </c>
    </row>
    <row r="34" customFormat="false" ht="15" hidden="false" customHeight="true" outlineLevel="0" collapsed="false">
      <c r="A34" s="18" t="s">
        <v>107</v>
      </c>
      <c r="B34" s="18" t="s">
        <v>108</v>
      </c>
      <c r="C34" s="18" t="s">
        <v>109</v>
      </c>
      <c r="D34" s="18" t="s">
        <v>86</v>
      </c>
      <c r="E34" s="19" t="n">
        <v>58</v>
      </c>
      <c r="F34" s="19" t="n">
        <v>75</v>
      </c>
      <c r="G34" s="19" t="n">
        <v>85</v>
      </c>
      <c r="H34" s="19" t="n">
        <v>77</v>
      </c>
      <c r="I34" s="20" t="n">
        <f aca="false">IFERROR((H34-E34)/E34,"")</f>
        <v>0.327586206896552</v>
      </c>
      <c r="J34" s="20" t="n">
        <f aca="false">IFERROR((H34-G34)/G34,"")</f>
        <v>-0.0941176470588235</v>
      </c>
      <c r="K34" s="18" t="s">
        <v>151</v>
      </c>
      <c r="L34" s="18"/>
    </row>
    <row r="35" customFormat="false" ht="15" hidden="false" customHeight="true" outlineLevel="0" collapsed="false">
      <c r="A35" s="18" t="s">
        <v>110</v>
      </c>
      <c r="B35" s="18" t="s">
        <v>108</v>
      </c>
      <c r="C35" s="18" t="s">
        <v>111</v>
      </c>
      <c r="D35" s="18" t="s">
        <v>86</v>
      </c>
      <c r="E35" s="19" t="n">
        <v>110</v>
      </c>
      <c r="F35" s="19" t="n">
        <v>140</v>
      </c>
      <c r="G35" s="19"/>
      <c r="H35" s="19" t="n">
        <v>115</v>
      </c>
      <c r="I35" s="20" t="n">
        <f aca="false">IFERROR((H35-E35)/E35,"")</f>
        <v>0.0454545454545455</v>
      </c>
      <c r="J35" s="20" t="str">
        <f aca="false">IFERROR((H35-G35)/G35,"")</f>
        <v/>
      </c>
      <c r="K35" s="18" t="s">
        <v>153</v>
      </c>
      <c r="L35" s="18" t="s">
        <v>232</v>
      </c>
    </row>
    <row r="36" customFormat="false" ht="15" hidden="false" customHeight="true" outlineLevel="0" collapsed="false">
      <c r="A36" s="18" t="s">
        <v>112</v>
      </c>
      <c r="B36" s="18" t="s">
        <v>113</v>
      </c>
      <c r="C36" s="18" t="s">
        <v>114</v>
      </c>
      <c r="D36" s="18" t="s">
        <v>86</v>
      </c>
      <c r="E36" s="19" t="n">
        <v>55</v>
      </c>
      <c r="F36" s="19" t="n">
        <v>68</v>
      </c>
      <c r="G36" s="19" t="n">
        <v>65</v>
      </c>
      <c r="H36" s="19" t="n">
        <v>58</v>
      </c>
      <c r="I36" s="20" t="n">
        <f aca="false">IFERROR((H36-E36)/E36,"")</f>
        <v>0.0545454545454545</v>
      </c>
      <c r="J36" s="20" t="n">
        <f aca="false">IFERROR((H36-G36)/G36,"")</f>
        <v>-0.107692307692308</v>
      </c>
      <c r="K36" s="18" t="s">
        <v>153</v>
      </c>
      <c r="L36" s="18"/>
    </row>
    <row r="37" customFormat="false" ht="15" hidden="false" customHeight="true" outlineLevel="0" collapsed="false">
      <c r="A37" s="18" t="s">
        <v>115</v>
      </c>
      <c r="B37" s="18" t="s">
        <v>113</v>
      </c>
      <c r="C37" s="18" t="s">
        <v>116</v>
      </c>
      <c r="D37" s="18" t="s">
        <v>33</v>
      </c>
      <c r="E37" s="19" t="n">
        <v>75</v>
      </c>
      <c r="F37" s="19" t="n">
        <v>90</v>
      </c>
      <c r="G37" s="19" t="n">
        <v>55</v>
      </c>
      <c r="H37" s="19" t="n">
        <v>48</v>
      </c>
      <c r="I37" s="20" t="n">
        <f aca="false">IFERROR((H37-E37)/E37,"")</f>
        <v>-0.36</v>
      </c>
      <c r="J37" s="20" t="n">
        <f aca="false">IFERROR((H37-G37)/G37,"")</f>
        <v>-0.127272727272727</v>
      </c>
      <c r="K37" s="18" t="s">
        <v>153</v>
      </c>
      <c r="L37" s="18" t="s">
        <v>271</v>
      </c>
    </row>
    <row r="38" customFormat="false" ht="15" hidden="false" customHeight="true" outlineLevel="0" collapsed="false">
      <c r="A38" s="18" t="s">
        <v>117</v>
      </c>
      <c r="B38" s="18" t="s">
        <v>118</v>
      </c>
      <c r="C38" s="18" t="s">
        <v>119</v>
      </c>
      <c r="D38" s="18" t="s">
        <v>33</v>
      </c>
      <c r="E38" s="19" t="n">
        <v>50</v>
      </c>
      <c r="F38" s="19" t="n">
        <v>65</v>
      </c>
      <c r="G38" s="19" t="n">
        <v>60</v>
      </c>
      <c r="H38" s="19" t="n">
        <v>54</v>
      </c>
      <c r="I38" s="20" t="n">
        <f aca="false">IFERROR((H38-E38)/E38,"")</f>
        <v>0.08</v>
      </c>
      <c r="J38" s="20" t="n">
        <f aca="false">IFERROR((H38-G38)/G38,"")</f>
        <v>-0.1</v>
      </c>
      <c r="K38" s="18" t="s">
        <v>153</v>
      </c>
      <c r="L38" s="18"/>
    </row>
    <row r="39" customFormat="false" ht="15" hidden="false" customHeight="true" outlineLevel="0" collapsed="false">
      <c r="A39" s="18" t="s">
        <v>120</v>
      </c>
      <c r="B39" s="18" t="s">
        <v>118</v>
      </c>
      <c r="C39" s="18" t="s">
        <v>121</v>
      </c>
      <c r="D39" s="18" t="s">
        <v>33</v>
      </c>
      <c r="E39" s="19" t="n">
        <v>300</v>
      </c>
      <c r="F39" s="19" t="n">
        <v>340</v>
      </c>
      <c r="G39" s="19" t="n">
        <v>225</v>
      </c>
      <c r="H39" s="19" t="n">
        <v>200</v>
      </c>
      <c r="I39" s="20" t="n">
        <f aca="false">IFERROR((H39-E39)/E39,"")</f>
        <v>-0.333333333333333</v>
      </c>
      <c r="J39" s="20" t="n">
        <f aca="false">IFERROR((H39-G39)/G39,"")</f>
        <v>-0.111111111111111</v>
      </c>
      <c r="K39" s="18" t="s">
        <v>153</v>
      </c>
      <c r="L39" s="18" t="s">
        <v>272</v>
      </c>
    </row>
    <row r="40" customFormat="false" ht="15" hidden="false" customHeight="true" outlineLevel="0" collapsed="false">
      <c r="A40" s="18" t="s">
        <v>122</v>
      </c>
      <c r="B40" s="18" t="s">
        <v>123</v>
      </c>
      <c r="C40" s="18" t="s">
        <v>124</v>
      </c>
      <c r="D40" s="18" t="s">
        <v>33</v>
      </c>
      <c r="E40" s="19" t="n">
        <v>220</v>
      </c>
      <c r="F40" s="19" t="n">
        <v>240</v>
      </c>
      <c r="G40" s="19" t="n">
        <v>200</v>
      </c>
      <c r="H40" s="19" t="n">
        <v>190</v>
      </c>
      <c r="I40" s="20" t="n">
        <f aca="false">IFERROR((H40-E40)/E40,"")</f>
        <v>-0.136363636363636</v>
      </c>
      <c r="J40" s="20" t="n">
        <f aca="false">IFERROR((H40-G40)/G40,"")</f>
        <v>-0.05</v>
      </c>
      <c r="K40" s="18" t="s">
        <v>153</v>
      </c>
      <c r="L40" s="18"/>
    </row>
    <row r="41" customFormat="false" ht="15" hidden="false" customHeight="true" outlineLevel="0" collapsed="false">
      <c r="A41" s="18" t="s">
        <v>125</v>
      </c>
      <c r="B41" s="18" t="s">
        <v>126</v>
      </c>
      <c r="C41" s="18" t="s">
        <v>127</v>
      </c>
      <c r="D41" s="18" t="s">
        <v>33</v>
      </c>
      <c r="E41" s="19" t="n">
        <v>165</v>
      </c>
      <c r="F41" s="19" t="n">
        <v>190</v>
      </c>
      <c r="G41" s="19" t="n">
        <v>200</v>
      </c>
      <c r="H41" s="19" t="n">
        <v>185</v>
      </c>
      <c r="I41" s="20" t="n">
        <f aca="false">IFERROR((H41-E41)/E41,"")</f>
        <v>0.121212121212121</v>
      </c>
      <c r="J41" s="20" t="n">
        <f aca="false">IFERROR((H41-G41)/G41,"")</f>
        <v>-0.075</v>
      </c>
      <c r="K41" s="18" t="s">
        <v>151</v>
      </c>
      <c r="L41" s="18" t="s">
        <v>273</v>
      </c>
    </row>
    <row r="42" customFormat="false" ht="15" hidden="false" customHeight="true" outlineLevel="0" collapsed="false">
      <c r="A42" s="18" t="s">
        <v>128</v>
      </c>
      <c r="B42" s="18" t="s">
        <v>129</v>
      </c>
      <c r="C42" s="18" t="s">
        <v>130</v>
      </c>
      <c r="D42" s="18" t="s">
        <v>33</v>
      </c>
      <c r="E42" s="19" t="n">
        <v>62</v>
      </c>
      <c r="F42" s="19" t="n">
        <v>80</v>
      </c>
      <c r="G42" s="19" t="n">
        <v>95</v>
      </c>
      <c r="H42" s="19" t="n">
        <v>86</v>
      </c>
      <c r="I42" s="20" t="n">
        <f aca="false">IFERROR((H42-E42)/E42,"")</f>
        <v>0.387096774193548</v>
      </c>
      <c r="J42" s="20" t="n">
        <f aca="false">IFERROR((H42-G42)/G42,"")</f>
        <v>-0.0947368421052632</v>
      </c>
      <c r="K42" s="18" t="s">
        <v>153</v>
      </c>
      <c r="L42" s="18" t="s">
        <v>274</v>
      </c>
    </row>
    <row r="43" customFormat="false" ht="15" hidden="false" customHeight="true" outlineLevel="0" collapsed="false">
      <c r="A43" s="18" t="s">
        <v>131</v>
      </c>
      <c r="B43" s="18" t="s">
        <v>129</v>
      </c>
      <c r="C43" s="18" t="s">
        <v>132</v>
      </c>
      <c r="D43" s="18" t="s">
        <v>33</v>
      </c>
      <c r="E43" s="19" t="n">
        <v>65</v>
      </c>
      <c r="F43" s="19" t="n">
        <v>85</v>
      </c>
      <c r="G43" s="19" t="n">
        <v>100</v>
      </c>
      <c r="H43" s="19" t="n">
        <v>90</v>
      </c>
      <c r="I43" s="20" t="n">
        <f aca="false">IFERROR((H43-E43)/E43,"")</f>
        <v>0.384615384615385</v>
      </c>
      <c r="J43" s="20" t="n">
        <f aca="false">IFERROR((H43-G43)/G43,"")</f>
        <v>-0.1</v>
      </c>
      <c r="K43" s="18" t="s">
        <v>153</v>
      </c>
      <c r="L43" s="18" t="s">
        <v>275</v>
      </c>
    </row>
  </sheetData>
  <autoFilter ref="A1:L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4"/>
    <col collapsed="false" customWidth="true" hidden="false" outlineLevel="0" max="3" min="3" style="1" width="15"/>
    <col collapsed="false" customWidth="true" hidden="false" outlineLevel="0" max="4" min="4" style="1" width="20"/>
    <col collapsed="false" customWidth="true" hidden="false" outlineLevel="0" max="5" min="5" style="1" width="30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30"/>
  </cols>
  <sheetData>
    <row r="1" customFormat="false" ht="23.25" hidden="false" customHeight="true" outlineLevel="0" collapsed="false">
      <c r="A1" s="15" t="s">
        <v>276</v>
      </c>
      <c r="B1" s="15" t="s">
        <v>277</v>
      </c>
      <c r="C1" s="15" t="s">
        <v>278</v>
      </c>
      <c r="D1" s="15" t="s">
        <v>279</v>
      </c>
      <c r="E1" s="15" t="s">
        <v>280</v>
      </c>
      <c r="F1" s="15" t="s">
        <v>281</v>
      </c>
      <c r="G1" s="15" t="s">
        <v>282</v>
      </c>
      <c r="H1" s="15" t="s">
        <v>283</v>
      </c>
    </row>
    <row r="2" customFormat="false" ht="15" hidden="false" customHeight="true" outlineLevel="0" collapsed="false">
      <c r="A2" s="21" t="s">
        <v>284</v>
      </c>
      <c r="B2" s="21" t="s">
        <v>285</v>
      </c>
      <c r="C2" s="21" t="s">
        <v>30</v>
      </c>
      <c r="D2" s="21" t="str">
        <f aca="false">IFERROR(INDEX(Skafferi!$C$2:$C$43,MATCH(C2,Skafferi!$A$2:$A$43,0)),"")</f>
        <v>Potatis</v>
      </c>
      <c r="E2" s="21" t="s">
        <v>286</v>
      </c>
      <c r="F2" s="21" t="s">
        <v>287</v>
      </c>
      <c r="G2" s="21" t="s">
        <v>288</v>
      </c>
      <c r="H2" s="21" t="s">
        <v>289</v>
      </c>
    </row>
    <row r="3" customFormat="false" ht="15" hidden="false" customHeight="true" outlineLevel="0" collapsed="false">
      <c r="A3" s="21" t="s">
        <v>290</v>
      </c>
      <c r="B3" s="21" t="s">
        <v>291</v>
      </c>
      <c r="C3" s="21" t="s">
        <v>58</v>
      </c>
      <c r="D3" s="21" t="str">
        <f aca="false">IFERROR(INDEX(Skafferi!$C$2:$C$43,MATCH(C3,Skafferi!$A$2:$A$43,0)),"")</f>
        <v>Havregryn</v>
      </c>
      <c r="E3" s="21" t="s">
        <v>292</v>
      </c>
      <c r="F3" s="21" t="s">
        <v>293</v>
      </c>
      <c r="G3" s="21" t="s">
        <v>294</v>
      </c>
      <c r="H3" s="21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30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34"/>
  </cols>
  <sheetData>
    <row r="1" customFormat="false" ht="23.25" hidden="false" customHeight="true" outlineLevel="0" collapsed="false">
      <c r="A1" s="15" t="s">
        <v>296</v>
      </c>
      <c r="B1" s="15" t="s">
        <v>297</v>
      </c>
      <c r="C1" s="15" t="s">
        <v>298</v>
      </c>
      <c r="D1" s="15" t="s">
        <v>299</v>
      </c>
      <c r="E1" s="15" t="s">
        <v>282</v>
      </c>
      <c r="F1" s="15" t="s">
        <v>300</v>
      </c>
      <c r="G1" s="15" t="s">
        <v>283</v>
      </c>
    </row>
    <row r="2" customFormat="false" ht="15" hidden="false" customHeight="true" outlineLevel="0" collapsed="false">
      <c r="A2" s="21" t="s">
        <v>58</v>
      </c>
      <c r="B2" s="21" t="str">
        <f aca="false">IFERROR(INDEX(Skafferi!$C$2:$C$43,MATCH(A2,Skafferi!$A$2:$A$43,0)),"")</f>
        <v>Havregryn</v>
      </c>
      <c r="C2" s="21" t="s">
        <v>301</v>
      </c>
      <c r="D2" s="21" t="s">
        <v>302</v>
      </c>
      <c r="E2" s="21" t="s">
        <v>303</v>
      </c>
      <c r="F2" s="21" t="s">
        <v>304</v>
      </c>
      <c r="G2" s="21" t="s">
        <v>305</v>
      </c>
    </row>
    <row r="3" customFormat="false" ht="15" hidden="false" customHeight="true" outlineLevel="0" collapsed="false">
      <c r="A3" s="21" t="s">
        <v>38</v>
      </c>
      <c r="B3" s="21" t="str">
        <f aca="false">IFERROR(INDEX(Skafferi!$C$2:$C$43,MATCH(A3,Skafferi!$A$2:$A$43,0)),"")</f>
        <v>Vitkål</v>
      </c>
      <c r="C3" s="21" t="s">
        <v>116</v>
      </c>
      <c r="D3" s="21" t="s">
        <v>306</v>
      </c>
      <c r="E3" s="21" t="s">
        <v>307</v>
      </c>
      <c r="F3" s="21" t="s">
        <v>308</v>
      </c>
      <c r="G3" s="21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4" min="3" style="1" width="22"/>
    <col collapsed="false" customWidth="true" hidden="false" outlineLevel="0" max="5" min="5" style="1" width="26"/>
    <col collapsed="false" customWidth="true" hidden="false" outlineLevel="0" max="6" min="6" style="1" width="42"/>
  </cols>
  <sheetData>
    <row r="1" customFormat="false" ht="15" hidden="false" customHeight="true" outlineLevel="0" collapsed="false">
      <c r="A1" s="15" t="s">
        <v>14</v>
      </c>
      <c r="B1" s="15" t="s">
        <v>173</v>
      </c>
      <c r="C1" s="15" t="s">
        <v>310</v>
      </c>
      <c r="D1" s="15" t="s">
        <v>311</v>
      </c>
      <c r="E1" s="15" t="s">
        <v>312</v>
      </c>
      <c r="F1" s="15" t="s">
        <v>313</v>
      </c>
    </row>
    <row r="2" customFormat="false" ht="15" hidden="false" customHeight="true" outlineLevel="0" collapsed="false">
      <c r="A2" s="21" t="s">
        <v>30</v>
      </c>
      <c r="B2" s="21" t="str">
        <f aca="false">IFERROR(INDEX(Skafferi!$C$2:$C$43,MATCH(A2,Skafferi!$A$2:$A$43,0)),"")</f>
        <v>Potatis</v>
      </c>
      <c r="C2" s="21" t="s">
        <v>314</v>
      </c>
      <c r="D2" s="21" t="s">
        <v>315</v>
      </c>
      <c r="E2" s="21" t="s">
        <v>316</v>
      </c>
      <c r="F2" s="21" t="s">
        <v>317</v>
      </c>
    </row>
    <row r="3" customFormat="false" ht="15" hidden="false" customHeight="true" outlineLevel="0" collapsed="false">
      <c r="A3" s="21" t="s">
        <v>120</v>
      </c>
      <c r="B3" s="21" t="str">
        <f aca="false">IFERROR(INDEX(Skafferi!$C$2:$C$43,MATCH(A3,Skafferi!$A$2:$A$43,0)),"")</f>
        <v>Kantareller</v>
      </c>
      <c r="C3" s="21" t="s">
        <v>318</v>
      </c>
      <c r="D3" s="21" t="s">
        <v>319</v>
      </c>
      <c r="E3" s="21" t="s">
        <v>320</v>
      </c>
      <c r="F3" s="21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22"/>
    <col collapsed="false" customWidth="true" hidden="false" outlineLevel="0" max="6" min="6" style="1" width="14"/>
    <col collapsed="false" customWidth="true" hidden="false" outlineLevel="0" max="7" min="7" style="1" width="22"/>
    <col collapsed="false" customWidth="true" hidden="false" outlineLevel="0" max="8" min="8" style="1" width="18"/>
    <col collapsed="false" customWidth="true" hidden="false" outlineLevel="0" max="9" min="9" style="1" width="30"/>
    <col collapsed="false" customWidth="true" hidden="false" outlineLevel="0" max="10" min="10" style="1" width="34"/>
    <col collapsed="false" customWidth="true" hidden="false" outlineLevel="0" max="14" min="11" style="1" width="26"/>
    <col collapsed="false" customWidth="true" hidden="false" outlineLevel="0" max="16" min="15" style="1" width="28"/>
  </cols>
  <sheetData>
    <row r="1" customFormat="false" ht="15" hidden="false" customHeight="true" outlineLevel="0" collapsed="false">
      <c r="A1" s="22" t="s">
        <v>322</v>
      </c>
      <c r="B1" s="22" t="s">
        <v>323</v>
      </c>
      <c r="C1" s="22" t="s">
        <v>324</v>
      </c>
      <c r="D1" s="22" t="s">
        <v>325</v>
      </c>
      <c r="E1" s="22" t="s">
        <v>326</v>
      </c>
      <c r="F1" s="22" t="s">
        <v>327</v>
      </c>
      <c r="G1" s="22" t="s">
        <v>328</v>
      </c>
      <c r="H1" s="22" t="s">
        <v>329</v>
      </c>
      <c r="I1" s="22" t="s">
        <v>330</v>
      </c>
      <c r="J1" s="22" t="s">
        <v>179</v>
      </c>
      <c r="K1" s="23" t="s">
        <v>331</v>
      </c>
      <c r="L1" s="23" t="s">
        <v>332</v>
      </c>
      <c r="M1" s="23" t="s">
        <v>333</v>
      </c>
      <c r="N1" s="23" t="s">
        <v>334</v>
      </c>
      <c r="O1" s="6" t="s">
        <v>335</v>
      </c>
      <c r="P1" s="6" t="s">
        <v>336</v>
      </c>
    </row>
    <row r="2" customFormat="false" ht="15" hidden="false" customHeight="true" outlineLevel="0" collapsed="false">
      <c r="A2" s="11" t="s">
        <v>337</v>
      </c>
      <c r="B2" s="11" t="s">
        <v>338</v>
      </c>
      <c r="C2" s="11" t="s">
        <v>339</v>
      </c>
      <c r="D2" s="11" t="s">
        <v>340</v>
      </c>
      <c r="E2" s="11" t="s">
        <v>341</v>
      </c>
      <c r="F2" s="11" t="s">
        <v>342</v>
      </c>
      <c r="G2" s="11"/>
      <c r="H2" s="11" t="s">
        <v>340</v>
      </c>
      <c r="I2" s="11"/>
      <c r="J2" s="11" t="s">
        <v>343</v>
      </c>
    </row>
    <row r="3" customFormat="false" ht="15" hidden="false" customHeight="true" outlineLevel="0" collapsed="false">
      <c r="A3" s="11" t="s">
        <v>344</v>
      </c>
      <c r="B3" s="11" t="s">
        <v>345</v>
      </c>
      <c r="C3" s="11" t="s">
        <v>346</v>
      </c>
      <c r="D3" s="11" t="s">
        <v>347</v>
      </c>
      <c r="E3" s="11"/>
      <c r="F3" s="11" t="s">
        <v>348</v>
      </c>
      <c r="G3" s="11" t="s">
        <v>31</v>
      </c>
      <c r="H3" s="11"/>
      <c r="I3" s="11"/>
      <c r="J3" s="11" t="s">
        <v>343</v>
      </c>
      <c r="O3" s="1" t="n">
        <f aca="false">'Behovsmodell (75p)'!$B$62</f>
        <v>85559</v>
      </c>
      <c r="P3" s="1" t="n">
        <f aca="false">('Behovsmodell (75p)'!$B$62)/12</f>
        <v>7129.91666666667</v>
      </c>
    </row>
    <row r="4" customFormat="false" ht="15" hidden="false" customHeight="true" outlineLevel="0" collapsed="false">
      <c r="A4" s="11" t="s">
        <v>349</v>
      </c>
      <c r="B4" s="11" t="s">
        <v>350</v>
      </c>
      <c r="C4" s="11" t="s">
        <v>351</v>
      </c>
      <c r="D4" s="11" t="s">
        <v>352</v>
      </c>
      <c r="E4" s="11"/>
      <c r="F4" s="11" t="s">
        <v>353</v>
      </c>
      <c r="G4" s="11" t="s">
        <v>84</v>
      </c>
      <c r="H4" s="11"/>
      <c r="I4" s="11"/>
      <c r="J4" s="11" t="s">
        <v>343</v>
      </c>
      <c r="O4" s="1" t="n">
        <f aca="false">'Behovsmodell (75p)'!$B$68</f>
        <v>330040.65</v>
      </c>
      <c r="P4" s="1" t="n">
        <f aca="false">('Behovsmodell (75p)'!$B$68)/12</f>
        <v>27503.3875</v>
      </c>
    </row>
    <row r="5" customFormat="false" ht="15" hidden="false" customHeight="true" outlineLevel="0" collapsed="false">
      <c r="A5" s="11" t="s">
        <v>354</v>
      </c>
      <c r="B5" s="11"/>
      <c r="C5" s="11" t="s">
        <v>355</v>
      </c>
      <c r="D5" s="11" t="s">
        <v>347</v>
      </c>
      <c r="E5" s="11" t="s">
        <v>356</v>
      </c>
      <c r="F5" s="11"/>
      <c r="G5" s="11" t="s">
        <v>31</v>
      </c>
      <c r="H5" s="11"/>
      <c r="I5" s="11"/>
      <c r="J5" s="11" t="s">
        <v>343</v>
      </c>
      <c r="O5" s="1" t="n">
        <f aca="false">'Behovsmodell (75p)'!$B$62</f>
        <v>85559</v>
      </c>
      <c r="P5" s="1" t="n">
        <f aca="false">('Behovsmodell (75p)'!$B$62)/12</f>
        <v>7129.91666666667</v>
      </c>
    </row>
    <row r="6" customFormat="false" ht="15" hidden="false" customHeight="true" outlineLevel="0" collapsed="false">
      <c r="A6" s="11" t="s">
        <v>357</v>
      </c>
      <c r="B6" s="11"/>
      <c r="C6" s="11" t="s">
        <v>339</v>
      </c>
      <c r="D6" s="11"/>
      <c r="E6" s="11" t="s">
        <v>356</v>
      </c>
      <c r="F6" s="11" t="s">
        <v>358</v>
      </c>
      <c r="G6" s="11"/>
      <c r="H6" s="11"/>
      <c r="I6" s="11"/>
      <c r="J6" s="11" t="s">
        <v>343</v>
      </c>
    </row>
    <row r="7" customFormat="false" ht="15" hidden="false" customHeight="true" outlineLevel="0" collapsed="false">
      <c r="A7" s="11" t="s">
        <v>359</v>
      </c>
      <c r="B7" s="11" t="s">
        <v>360</v>
      </c>
      <c r="C7" s="11" t="s">
        <v>361</v>
      </c>
      <c r="D7" s="11" t="s">
        <v>347</v>
      </c>
      <c r="E7" s="11" t="s">
        <v>356</v>
      </c>
      <c r="F7" s="11" t="s">
        <v>362</v>
      </c>
      <c r="G7" s="11" t="s">
        <v>31</v>
      </c>
      <c r="H7" s="11"/>
      <c r="I7" s="11"/>
      <c r="J7" s="11" t="s">
        <v>343</v>
      </c>
      <c r="K7" s="1" t="s">
        <v>363</v>
      </c>
      <c r="N7" s="1" t="s">
        <v>364</v>
      </c>
      <c r="O7" s="1" t="n">
        <f aca="false">'Behovsmodell (75p)'!$B$62</f>
        <v>85559</v>
      </c>
      <c r="P7" s="1" t="n">
        <f aca="false">('Behovsmodell (75p)'!$B$62)/12</f>
        <v>7129.91666666667</v>
      </c>
    </row>
    <row r="8" customFormat="false" ht="15" hidden="false" customHeight="true" outlineLevel="0" collapsed="false">
      <c r="A8" s="11" t="s">
        <v>365</v>
      </c>
      <c r="B8" s="11"/>
      <c r="C8" s="11" t="s">
        <v>355</v>
      </c>
      <c r="D8" s="11" t="s">
        <v>366</v>
      </c>
      <c r="E8" s="11" t="s">
        <v>341</v>
      </c>
      <c r="F8" s="11"/>
      <c r="G8" s="11"/>
      <c r="H8" s="11" t="s">
        <v>366</v>
      </c>
      <c r="I8" s="11"/>
      <c r="J8" s="11" t="s">
        <v>343</v>
      </c>
    </row>
    <row r="9" customFormat="false" ht="15" hidden="false" customHeight="true" outlineLevel="0" collapsed="false">
      <c r="A9" s="11" t="s">
        <v>367</v>
      </c>
      <c r="B9" s="11" t="s">
        <v>368</v>
      </c>
      <c r="C9" s="11" t="s">
        <v>361</v>
      </c>
      <c r="D9" s="11"/>
      <c r="E9" s="11" t="s">
        <v>356</v>
      </c>
      <c r="F9" s="11" t="s">
        <v>358</v>
      </c>
      <c r="G9" s="11"/>
      <c r="H9" s="11"/>
      <c r="I9" s="11"/>
      <c r="J9" s="11" t="s">
        <v>343</v>
      </c>
      <c r="K9" s="1" t="s">
        <v>369</v>
      </c>
    </row>
    <row r="10" customFormat="false" ht="15" hidden="false" customHeight="true" outlineLevel="0" collapsed="false">
      <c r="A10" s="11" t="s">
        <v>370</v>
      </c>
      <c r="B10" s="11"/>
      <c r="C10" s="11" t="s">
        <v>339</v>
      </c>
      <c r="D10" s="11"/>
      <c r="E10" s="11" t="s">
        <v>356</v>
      </c>
      <c r="F10" s="11"/>
      <c r="G10" s="11"/>
      <c r="H10" s="11"/>
      <c r="I10" s="11"/>
      <c r="J10" s="11" t="s">
        <v>343</v>
      </c>
      <c r="N10" s="1" t="s">
        <v>371</v>
      </c>
    </row>
    <row r="11" customFormat="false" ht="15" hidden="false" customHeight="true" outlineLevel="0" collapsed="false">
      <c r="A11" s="11" t="s">
        <v>372</v>
      </c>
      <c r="B11" s="11"/>
      <c r="C11" s="11" t="s">
        <v>339</v>
      </c>
      <c r="D11" s="11" t="s">
        <v>340</v>
      </c>
      <c r="E11" s="11" t="s">
        <v>341</v>
      </c>
      <c r="F11" s="11"/>
      <c r="G11" s="11"/>
      <c r="H11" s="11" t="s">
        <v>340</v>
      </c>
      <c r="I11" s="11"/>
      <c r="J11" s="11" t="s">
        <v>343</v>
      </c>
    </row>
    <row r="12" customFormat="false" ht="15" hidden="false" customHeight="true" outlineLevel="0" collapsed="false">
      <c r="A12" s="11" t="s">
        <v>373</v>
      </c>
      <c r="B12" s="11"/>
      <c r="C12" s="11" t="s">
        <v>339</v>
      </c>
      <c r="D12" s="11" t="s">
        <v>352</v>
      </c>
      <c r="E12" s="11"/>
      <c r="F12" s="11" t="s">
        <v>358</v>
      </c>
      <c r="G12" s="11" t="s">
        <v>84</v>
      </c>
      <c r="H12" s="11"/>
      <c r="I12" s="11"/>
      <c r="J12" s="11" t="s">
        <v>343</v>
      </c>
      <c r="O12" s="1" t="n">
        <f aca="false">'Behovsmodell (75p)'!$B$68</f>
        <v>330040.65</v>
      </c>
      <c r="P12" s="1" t="n">
        <f aca="false">('Behovsmodell (75p)'!$B$68)/12</f>
        <v>27503.3875</v>
      </c>
    </row>
    <row r="13" customFormat="false" ht="15" hidden="false" customHeight="true" outlineLevel="0" collapsed="false">
      <c r="A13" s="11" t="s">
        <v>374</v>
      </c>
      <c r="B13" s="11" t="s">
        <v>338</v>
      </c>
      <c r="C13" s="11" t="s">
        <v>339</v>
      </c>
      <c r="D13" s="11" t="s">
        <v>375</v>
      </c>
      <c r="E13" s="11"/>
      <c r="F13" s="11" t="s">
        <v>353</v>
      </c>
      <c r="G13" s="11" t="s">
        <v>68</v>
      </c>
      <c r="H13" s="11"/>
      <c r="I13" s="11"/>
      <c r="J13" s="11" t="s">
        <v>343</v>
      </c>
      <c r="N13" s="1" t="s">
        <v>376</v>
      </c>
      <c r="O13" s="1" t="n">
        <f aca="false">'Behovsmodell (75p)'!$B$66</f>
        <v>206427.05</v>
      </c>
      <c r="P13" s="1" t="n">
        <f aca="false">('Behovsmodell (75p)'!$B$66)/12</f>
        <v>17202.2541666667</v>
      </c>
    </row>
    <row r="14" customFormat="false" ht="15" hidden="false" customHeight="true" outlineLevel="0" collapsed="false">
      <c r="A14" s="11" t="s">
        <v>377</v>
      </c>
      <c r="B14" s="11" t="s">
        <v>378</v>
      </c>
      <c r="C14" s="11" t="s">
        <v>339</v>
      </c>
      <c r="D14" s="11"/>
      <c r="E14" s="11" t="s">
        <v>356</v>
      </c>
      <c r="F14" s="11"/>
      <c r="G14" s="11"/>
      <c r="H14" s="11"/>
      <c r="I14" s="11"/>
      <c r="J14" s="11" t="s">
        <v>343</v>
      </c>
    </row>
    <row r="15" customFormat="false" ht="15" hidden="false" customHeight="true" outlineLevel="0" collapsed="false">
      <c r="A15" s="11" t="s">
        <v>379</v>
      </c>
      <c r="B15" s="11" t="s">
        <v>380</v>
      </c>
      <c r="C15" s="11" t="s">
        <v>381</v>
      </c>
      <c r="D15" s="11" t="s">
        <v>340</v>
      </c>
      <c r="E15" s="11" t="s">
        <v>341</v>
      </c>
      <c r="F15" s="11" t="s">
        <v>358</v>
      </c>
      <c r="G15" s="11"/>
      <c r="H15" s="11" t="s">
        <v>340</v>
      </c>
      <c r="I15" s="11"/>
      <c r="J15" s="11" t="s">
        <v>343</v>
      </c>
    </row>
    <row r="16" customFormat="false" ht="15" hidden="false" customHeight="true" outlineLevel="0" collapsed="false">
      <c r="A16" s="24" t="s">
        <v>382</v>
      </c>
      <c r="B16" s="24" t="s">
        <v>383</v>
      </c>
      <c r="C16" s="24" t="s">
        <v>339</v>
      </c>
      <c r="D16" s="24"/>
      <c r="E16" s="24" t="s">
        <v>356</v>
      </c>
      <c r="F16" s="24"/>
      <c r="G16" s="24"/>
      <c r="H16" s="24"/>
      <c r="I16" s="24" t="s">
        <v>384</v>
      </c>
      <c r="J16" s="24" t="s">
        <v>343</v>
      </c>
    </row>
    <row r="17" customFormat="false" ht="15" hidden="false" customHeight="true" outlineLevel="0" collapsed="false">
      <c r="A17" s="11" t="s">
        <v>385</v>
      </c>
      <c r="B17" s="11"/>
      <c r="C17" s="11" t="s">
        <v>361</v>
      </c>
      <c r="D17" s="11"/>
      <c r="E17" s="11"/>
      <c r="F17" s="11"/>
      <c r="G17" s="11"/>
      <c r="H17" s="11"/>
      <c r="I17" s="11"/>
      <c r="J17" s="11" t="s">
        <v>343</v>
      </c>
    </row>
    <row r="18" customFormat="false" ht="15" hidden="false" customHeight="true" outlineLevel="0" collapsed="false">
      <c r="A18" s="11" t="s">
        <v>386</v>
      </c>
      <c r="B18" s="11" t="s">
        <v>387</v>
      </c>
      <c r="C18" s="11" t="s">
        <v>388</v>
      </c>
      <c r="D18" s="11" t="s">
        <v>347</v>
      </c>
      <c r="E18" s="11" t="s">
        <v>356</v>
      </c>
      <c r="F18" s="11"/>
      <c r="G18" s="11" t="s">
        <v>31</v>
      </c>
      <c r="H18" s="11"/>
      <c r="I18" s="11"/>
      <c r="J18" s="11" t="s">
        <v>343</v>
      </c>
      <c r="K18" s="1" t="s">
        <v>389</v>
      </c>
      <c r="L18" s="1" t="s">
        <v>390</v>
      </c>
      <c r="M18" s="1" t="s">
        <v>391</v>
      </c>
      <c r="N18" s="1" t="s">
        <v>392</v>
      </c>
      <c r="O18" s="1" t="n">
        <f aca="false">'Behovsmodell (75p)'!$B$62</f>
        <v>85559</v>
      </c>
      <c r="P18" s="1" t="n">
        <f aca="false">('Behovsmodell (75p)'!$B$62)/12</f>
        <v>7129.91666666667</v>
      </c>
    </row>
    <row r="19" customFormat="false" ht="15" hidden="false" customHeight="true" outlineLevel="0" collapsed="false">
      <c r="A19" s="11" t="s">
        <v>393</v>
      </c>
      <c r="B19" s="11"/>
      <c r="C19" s="11" t="s">
        <v>245</v>
      </c>
      <c r="D19" s="11" t="s">
        <v>340</v>
      </c>
      <c r="E19" s="11" t="s">
        <v>341</v>
      </c>
      <c r="F19" s="11"/>
      <c r="G19" s="11"/>
      <c r="H19" s="11" t="s">
        <v>340</v>
      </c>
      <c r="I19" s="11"/>
      <c r="J19" s="11" t="s">
        <v>343</v>
      </c>
    </row>
    <row r="20" customFormat="false" ht="15" hidden="false" customHeight="true" outlineLevel="0" collapsed="false">
      <c r="A20" s="11" t="s">
        <v>394</v>
      </c>
      <c r="B20" s="11"/>
      <c r="C20" s="11" t="s">
        <v>351</v>
      </c>
      <c r="D20" s="11" t="s">
        <v>395</v>
      </c>
      <c r="E20" s="11" t="s">
        <v>396</v>
      </c>
      <c r="F20" s="11" t="s">
        <v>358</v>
      </c>
      <c r="G20" s="11" t="s">
        <v>129</v>
      </c>
      <c r="H20" s="11"/>
      <c r="I20" s="11"/>
      <c r="J20" s="11" t="s">
        <v>343</v>
      </c>
      <c r="O20" s="1" t="n">
        <f aca="false">'Behovsmodell (75p)'!$B$76</f>
        <v>111099</v>
      </c>
      <c r="P20" s="1" t="n">
        <f aca="false">('Behovsmodell (75p)'!$B$76)/12</f>
        <v>9258.25</v>
      </c>
    </row>
    <row r="21" customFormat="false" ht="15" hidden="false" customHeight="true" outlineLevel="0" collapsed="false">
      <c r="A21" s="11" t="s">
        <v>397</v>
      </c>
      <c r="B21" s="11"/>
      <c r="C21" s="11" t="s">
        <v>355</v>
      </c>
      <c r="D21" s="11"/>
      <c r="E21" s="11" t="s">
        <v>356</v>
      </c>
      <c r="F21" s="11" t="s">
        <v>358</v>
      </c>
      <c r="G21" s="11"/>
      <c r="H21" s="11"/>
      <c r="I21" s="11"/>
      <c r="J21" s="11" t="s">
        <v>343</v>
      </c>
    </row>
    <row r="22" customFormat="false" ht="15" hidden="false" customHeight="true" outlineLevel="0" collapsed="false">
      <c r="A22" s="11" t="s">
        <v>398</v>
      </c>
      <c r="B22" s="11"/>
      <c r="C22" s="11" t="s">
        <v>351</v>
      </c>
      <c r="D22" s="11" t="s">
        <v>352</v>
      </c>
      <c r="E22" s="11" t="s">
        <v>356</v>
      </c>
      <c r="F22" s="11" t="s">
        <v>399</v>
      </c>
      <c r="G22" s="11" t="s">
        <v>84</v>
      </c>
      <c r="H22" s="11"/>
      <c r="I22" s="11"/>
      <c r="J22" s="11" t="s">
        <v>343</v>
      </c>
      <c r="K22" s="1" t="s">
        <v>400</v>
      </c>
      <c r="L22" s="1" t="s">
        <v>401</v>
      </c>
      <c r="N22" s="1" t="s">
        <v>402</v>
      </c>
      <c r="O22" s="1" t="n">
        <f aca="false">'Behovsmodell (75p)'!$B$68</f>
        <v>330040.65</v>
      </c>
      <c r="P22" s="1" t="n">
        <f aca="false">('Behovsmodell (75p)'!$B$68)/12</f>
        <v>27503.3875</v>
      </c>
    </row>
    <row r="23" customFormat="false" ht="15" hidden="false" customHeight="true" outlineLevel="0" collapsed="false">
      <c r="A23" s="11" t="s">
        <v>398</v>
      </c>
      <c r="B23" s="11"/>
      <c r="C23" s="11" t="s">
        <v>403</v>
      </c>
      <c r="D23" s="11" t="s">
        <v>352</v>
      </c>
      <c r="E23" s="11" t="s">
        <v>356</v>
      </c>
      <c r="F23" s="11" t="s">
        <v>399</v>
      </c>
      <c r="G23" s="11" t="s">
        <v>84</v>
      </c>
      <c r="H23" s="11"/>
      <c r="I23" s="11"/>
      <c r="J23" s="11" t="s">
        <v>343</v>
      </c>
      <c r="K23" s="1" t="s">
        <v>400</v>
      </c>
      <c r="L23" s="1" t="s">
        <v>401</v>
      </c>
      <c r="N23" s="1" t="s">
        <v>402</v>
      </c>
      <c r="O23" s="1" t="n">
        <f aca="false">'Behovsmodell (75p)'!$B$68</f>
        <v>330040.65</v>
      </c>
      <c r="P23" s="1" t="n">
        <f aca="false">('Behovsmodell (75p)'!$B$68)/12</f>
        <v>27503.3875</v>
      </c>
    </row>
    <row r="24" customFormat="false" ht="15" hidden="false" customHeight="true" outlineLevel="0" collapsed="false">
      <c r="A24" s="11" t="s">
        <v>404</v>
      </c>
      <c r="B24" s="11" t="s">
        <v>405</v>
      </c>
      <c r="C24" s="11" t="s">
        <v>346</v>
      </c>
      <c r="D24" s="11" t="s">
        <v>366</v>
      </c>
      <c r="E24" s="11" t="s">
        <v>341</v>
      </c>
      <c r="F24" s="11"/>
      <c r="G24" s="11"/>
      <c r="H24" s="11" t="s">
        <v>366</v>
      </c>
      <c r="I24" s="11"/>
      <c r="J24" s="11" t="s">
        <v>343</v>
      </c>
      <c r="N24" s="1" t="s">
        <v>371</v>
      </c>
    </row>
    <row r="25" customFormat="false" ht="15" hidden="false" customHeight="true" outlineLevel="0" collapsed="false">
      <c r="A25" s="11" t="s">
        <v>406</v>
      </c>
      <c r="B25" s="11" t="s">
        <v>405</v>
      </c>
      <c r="C25" s="11" t="s">
        <v>346</v>
      </c>
      <c r="D25" s="11" t="s">
        <v>366</v>
      </c>
      <c r="E25" s="11" t="s">
        <v>341</v>
      </c>
      <c r="F25" s="11"/>
      <c r="G25" s="11"/>
      <c r="H25" s="11" t="s">
        <v>366</v>
      </c>
      <c r="I25" s="11"/>
      <c r="J25" s="11" t="s">
        <v>343</v>
      </c>
    </row>
    <row r="26" customFormat="false" ht="15" hidden="false" customHeight="true" outlineLevel="0" collapsed="false">
      <c r="A26" s="11" t="s">
        <v>407</v>
      </c>
      <c r="B26" s="11" t="s">
        <v>408</v>
      </c>
      <c r="C26" s="11" t="s">
        <v>355</v>
      </c>
      <c r="D26" s="11"/>
      <c r="E26" s="11" t="s">
        <v>356</v>
      </c>
      <c r="F26" s="11" t="s">
        <v>409</v>
      </c>
      <c r="G26" s="11"/>
      <c r="H26" s="11"/>
      <c r="I26" s="11"/>
      <c r="J26" s="11" t="s">
        <v>343</v>
      </c>
    </row>
    <row r="27" customFormat="false" ht="15" hidden="false" customHeight="true" outlineLevel="0" collapsed="false">
      <c r="A27" s="11" t="s">
        <v>410</v>
      </c>
      <c r="B27" s="11" t="s">
        <v>411</v>
      </c>
      <c r="C27" s="11" t="s">
        <v>339</v>
      </c>
      <c r="D27" s="11" t="s">
        <v>347</v>
      </c>
      <c r="E27" s="11" t="s">
        <v>356</v>
      </c>
      <c r="F27" s="11"/>
      <c r="G27" s="11" t="s">
        <v>31</v>
      </c>
      <c r="H27" s="11"/>
      <c r="I27" s="11"/>
      <c r="J27" s="11" t="s">
        <v>343</v>
      </c>
      <c r="O27" s="1" t="n">
        <f aca="false">'Behovsmodell (75p)'!$B$62</f>
        <v>85559</v>
      </c>
      <c r="P27" s="1" t="n">
        <f aca="false">('Behovsmodell (75p)'!$B$62)/12</f>
        <v>7129.91666666667</v>
      </c>
    </row>
    <row r="28" customFormat="false" ht="15" hidden="false" customHeight="true" outlineLevel="0" collapsed="false">
      <c r="A28" s="11" t="s">
        <v>412</v>
      </c>
      <c r="B28" s="11" t="s">
        <v>413</v>
      </c>
      <c r="C28" s="11" t="s">
        <v>414</v>
      </c>
      <c r="D28" s="11" t="s">
        <v>347</v>
      </c>
      <c r="E28" s="11" t="s">
        <v>396</v>
      </c>
      <c r="F28" s="11"/>
      <c r="G28" s="11" t="s">
        <v>31</v>
      </c>
      <c r="H28" s="11"/>
      <c r="I28" s="11"/>
      <c r="J28" s="11" t="s">
        <v>343</v>
      </c>
      <c r="O28" s="1" t="n">
        <f aca="false">'Behovsmodell (75p)'!$B$62</f>
        <v>85559</v>
      </c>
      <c r="P28" s="1" t="n">
        <f aca="false">('Behovsmodell (75p)'!$B$62)/12</f>
        <v>7129.91666666667</v>
      </c>
    </row>
    <row r="29" customFormat="false" ht="15" hidden="false" customHeight="true" outlineLevel="0" collapsed="false">
      <c r="A29" s="11" t="s">
        <v>415</v>
      </c>
      <c r="B29" s="11" t="s">
        <v>403</v>
      </c>
      <c r="C29" s="11" t="s">
        <v>403</v>
      </c>
      <c r="D29" s="11" t="s">
        <v>352</v>
      </c>
      <c r="E29" s="11"/>
      <c r="F29" s="11" t="s">
        <v>416</v>
      </c>
      <c r="G29" s="11" t="s">
        <v>84</v>
      </c>
      <c r="H29" s="11"/>
      <c r="I29" s="11"/>
      <c r="J29" s="11" t="s">
        <v>343</v>
      </c>
      <c r="O29" s="1" t="n">
        <f aca="false">'Behovsmodell (75p)'!$B$68</f>
        <v>330040.65</v>
      </c>
      <c r="P29" s="1" t="n">
        <f aca="false">('Behovsmodell (75p)'!$B$68)/12</f>
        <v>27503.3875</v>
      </c>
    </row>
    <row r="30" customFormat="false" ht="15" hidden="false" customHeight="true" outlineLevel="0" collapsed="false">
      <c r="A30" s="11" t="s">
        <v>417</v>
      </c>
      <c r="B30" s="11" t="s">
        <v>403</v>
      </c>
      <c r="C30" s="11" t="s">
        <v>403</v>
      </c>
      <c r="D30" s="11" t="s">
        <v>352</v>
      </c>
      <c r="E30" s="11"/>
      <c r="F30" s="11" t="s">
        <v>418</v>
      </c>
      <c r="G30" s="11" t="s">
        <v>84</v>
      </c>
      <c r="H30" s="11"/>
      <c r="I30" s="11"/>
      <c r="J30" s="11" t="s">
        <v>343</v>
      </c>
      <c r="O30" s="1" t="n">
        <f aca="false">'Behovsmodell (75p)'!$B$68</f>
        <v>330040.65</v>
      </c>
      <c r="P30" s="1" t="n">
        <f aca="false">('Behovsmodell (75p)'!$B$68)/12</f>
        <v>27503.3875</v>
      </c>
    </row>
    <row r="31" customFormat="false" ht="15" hidden="false" customHeight="true" outlineLevel="0" collapsed="false">
      <c r="A31" s="11" t="s">
        <v>419</v>
      </c>
      <c r="B31" s="11" t="s">
        <v>338</v>
      </c>
      <c r="C31" s="11" t="s">
        <v>339</v>
      </c>
      <c r="D31" s="11" t="s">
        <v>352</v>
      </c>
      <c r="E31" s="11"/>
      <c r="F31" s="11" t="s">
        <v>353</v>
      </c>
      <c r="G31" s="11" t="s">
        <v>84</v>
      </c>
      <c r="H31" s="11"/>
      <c r="I31" s="11"/>
      <c r="J31" s="11" t="s">
        <v>343</v>
      </c>
      <c r="K31" s="1" t="s">
        <v>420</v>
      </c>
      <c r="L31" s="1" t="s">
        <v>421</v>
      </c>
      <c r="N31" s="1" t="s">
        <v>422</v>
      </c>
      <c r="O31" s="1" t="n">
        <f aca="false">'Behovsmodell (75p)'!$B$68</f>
        <v>330040.65</v>
      </c>
      <c r="P31" s="1" t="n">
        <f aca="false">('Behovsmodell (75p)'!$B$68)/12</f>
        <v>27503.3875</v>
      </c>
    </row>
    <row r="32" customFormat="false" ht="15" hidden="false" customHeight="true" outlineLevel="0" collapsed="false">
      <c r="A32" s="11" t="s">
        <v>423</v>
      </c>
      <c r="B32" s="11" t="s">
        <v>424</v>
      </c>
      <c r="C32" s="11" t="s">
        <v>339</v>
      </c>
      <c r="D32" s="11"/>
      <c r="E32" s="11" t="s">
        <v>356</v>
      </c>
      <c r="F32" s="11" t="s">
        <v>425</v>
      </c>
      <c r="G32" s="11"/>
      <c r="H32" s="11"/>
      <c r="I32" s="11"/>
      <c r="J32" s="11" t="s">
        <v>343</v>
      </c>
    </row>
    <row r="33" customFormat="false" ht="15" hidden="false" customHeight="true" outlineLevel="0" collapsed="false">
      <c r="A33" s="11" t="s">
        <v>423</v>
      </c>
      <c r="B33" s="11"/>
      <c r="C33" s="11" t="s">
        <v>361</v>
      </c>
      <c r="D33" s="11"/>
      <c r="E33" s="11"/>
      <c r="F33" s="11" t="s">
        <v>425</v>
      </c>
      <c r="G33" s="11"/>
      <c r="H33" s="11"/>
      <c r="I33" s="11"/>
      <c r="J33" s="11" t="s">
        <v>343</v>
      </c>
    </row>
    <row r="34" customFormat="false" ht="15" hidden="false" customHeight="true" outlineLevel="0" collapsed="false">
      <c r="A34" s="11" t="s">
        <v>426</v>
      </c>
      <c r="B34" s="11" t="s">
        <v>424</v>
      </c>
      <c r="C34" s="11" t="s">
        <v>339</v>
      </c>
      <c r="D34" s="11"/>
      <c r="E34" s="11" t="s">
        <v>396</v>
      </c>
      <c r="F34" s="11" t="s">
        <v>362</v>
      </c>
      <c r="G34" s="11"/>
      <c r="H34" s="11"/>
      <c r="I34" s="11"/>
      <c r="J34" s="11" t="s">
        <v>343</v>
      </c>
    </row>
    <row r="35" customFormat="false" ht="15" hidden="false" customHeight="true" outlineLevel="0" collapsed="false">
      <c r="A35" s="11" t="s">
        <v>427</v>
      </c>
      <c r="B35" s="11"/>
      <c r="C35" s="11" t="s">
        <v>351</v>
      </c>
      <c r="D35" s="11" t="s">
        <v>366</v>
      </c>
      <c r="E35" s="11" t="s">
        <v>396</v>
      </c>
      <c r="F35" s="11" t="s">
        <v>358</v>
      </c>
      <c r="G35" s="11"/>
      <c r="H35" s="11" t="s">
        <v>366</v>
      </c>
      <c r="I35" s="11"/>
      <c r="J35" s="11" t="s">
        <v>343</v>
      </c>
    </row>
    <row r="36" customFormat="false" ht="15" hidden="false" customHeight="true" outlineLevel="0" collapsed="false">
      <c r="A36" s="11" t="s">
        <v>428</v>
      </c>
      <c r="B36" s="11" t="s">
        <v>429</v>
      </c>
      <c r="C36" s="11" t="s">
        <v>361</v>
      </c>
      <c r="D36" s="11" t="s">
        <v>347</v>
      </c>
      <c r="E36" s="11" t="s">
        <v>356</v>
      </c>
      <c r="F36" s="11" t="s">
        <v>430</v>
      </c>
      <c r="G36" s="11" t="s">
        <v>31</v>
      </c>
      <c r="H36" s="11"/>
      <c r="I36" s="11"/>
      <c r="J36" s="11" t="s">
        <v>343</v>
      </c>
      <c r="O36" s="1" t="n">
        <f aca="false">'Behovsmodell (75p)'!$B$62</f>
        <v>85559</v>
      </c>
      <c r="P36" s="1" t="n">
        <f aca="false">('Behovsmodell (75p)'!$B$62)/12</f>
        <v>7129.91666666667</v>
      </c>
    </row>
    <row r="37" customFormat="false" ht="15" hidden="false" customHeight="true" outlineLevel="0" collapsed="false">
      <c r="A37" s="11" t="s">
        <v>431</v>
      </c>
      <c r="B37" s="11"/>
      <c r="C37" s="11" t="s">
        <v>339</v>
      </c>
      <c r="D37" s="11" t="s">
        <v>340</v>
      </c>
      <c r="E37" s="11" t="s">
        <v>341</v>
      </c>
      <c r="F37" s="11"/>
      <c r="G37" s="11"/>
      <c r="H37" s="11" t="s">
        <v>340</v>
      </c>
      <c r="I37" s="11"/>
      <c r="J37" s="11" t="s">
        <v>343</v>
      </c>
    </row>
    <row r="38" customFormat="false" ht="15" hidden="false" customHeight="true" outlineLevel="0" collapsed="false">
      <c r="A38" s="11" t="s">
        <v>432</v>
      </c>
      <c r="B38" s="11" t="s">
        <v>433</v>
      </c>
      <c r="C38" s="11" t="s">
        <v>346</v>
      </c>
      <c r="D38" s="11" t="s">
        <v>340</v>
      </c>
      <c r="E38" s="11" t="s">
        <v>341</v>
      </c>
      <c r="F38" s="11"/>
      <c r="G38" s="11"/>
      <c r="H38" s="11" t="s">
        <v>340</v>
      </c>
      <c r="I38" s="11"/>
      <c r="J38" s="11" t="s">
        <v>343</v>
      </c>
    </row>
    <row r="39" customFormat="false" ht="15" hidden="false" customHeight="true" outlineLevel="0" collapsed="false">
      <c r="A39" s="11" t="s">
        <v>434</v>
      </c>
      <c r="B39" s="11"/>
      <c r="C39" s="11" t="s">
        <v>351</v>
      </c>
      <c r="D39" s="11"/>
      <c r="E39" s="11" t="s">
        <v>356</v>
      </c>
      <c r="F39" s="11" t="s">
        <v>435</v>
      </c>
      <c r="G39" s="11"/>
      <c r="H39" s="11"/>
      <c r="I39" s="11"/>
      <c r="J39" s="11" t="s">
        <v>343</v>
      </c>
    </row>
    <row r="40" customFormat="false" ht="15" hidden="false" customHeight="true" outlineLevel="0" collapsed="false">
      <c r="A40" s="11" t="s">
        <v>436</v>
      </c>
      <c r="B40" s="11" t="s">
        <v>437</v>
      </c>
      <c r="C40" s="11" t="s">
        <v>361</v>
      </c>
      <c r="D40" s="11"/>
      <c r="E40" s="11" t="s">
        <v>396</v>
      </c>
      <c r="F40" s="11" t="s">
        <v>362</v>
      </c>
      <c r="G40" s="11"/>
      <c r="H40" s="11"/>
      <c r="I40" s="11"/>
      <c r="J40" s="11" t="s">
        <v>343</v>
      </c>
    </row>
    <row r="41" customFormat="false" ht="15" hidden="false" customHeight="true" outlineLevel="0" collapsed="false">
      <c r="A41" s="11" t="s">
        <v>438</v>
      </c>
      <c r="B41" s="11" t="s">
        <v>437</v>
      </c>
      <c r="C41" s="11" t="s">
        <v>361</v>
      </c>
      <c r="D41" s="11" t="s">
        <v>395</v>
      </c>
      <c r="E41" s="11" t="s">
        <v>396</v>
      </c>
      <c r="F41" s="11" t="s">
        <v>439</v>
      </c>
      <c r="G41" s="11" t="s">
        <v>129</v>
      </c>
      <c r="H41" s="11"/>
      <c r="I41" s="11"/>
      <c r="J41" s="11" t="s">
        <v>343</v>
      </c>
      <c r="O41" s="1" t="n">
        <f aca="false">'Behovsmodell (75p)'!$B$76</f>
        <v>111099</v>
      </c>
      <c r="P41" s="1" t="n">
        <f aca="false">('Behovsmodell (75p)'!$B$76)/12</f>
        <v>9258.25</v>
      </c>
    </row>
    <row r="42" customFormat="false" ht="15" hidden="false" customHeight="true" outlineLevel="0" collapsed="false">
      <c r="A42" s="11" t="s">
        <v>440</v>
      </c>
      <c r="B42" s="11"/>
      <c r="C42" s="11" t="s">
        <v>339</v>
      </c>
      <c r="D42" s="11" t="s">
        <v>347</v>
      </c>
      <c r="E42" s="11" t="s">
        <v>356</v>
      </c>
      <c r="F42" s="11" t="s">
        <v>441</v>
      </c>
      <c r="G42" s="11" t="s">
        <v>31</v>
      </c>
      <c r="H42" s="11"/>
      <c r="I42" s="11"/>
      <c r="J42" s="11" t="s">
        <v>343</v>
      </c>
      <c r="O42" s="1" t="n">
        <f aca="false">'Behovsmodell (75p)'!$B$62</f>
        <v>85559</v>
      </c>
      <c r="P42" s="1" t="n">
        <f aca="false">('Behovsmodell (75p)'!$B$62)/12</f>
        <v>7129.91666666667</v>
      </c>
    </row>
    <row r="43" customFormat="false" ht="15" hidden="false" customHeight="true" outlineLevel="0" collapsed="false">
      <c r="A43" s="11" t="s">
        <v>442</v>
      </c>
      <c r="B43" s="11"/>
      <c r="C43" s="11" t="s">
        <v>355</v>
      </c>
      <c r="D43" s="11" t="s">
        <v>366</v>
      </c>
      <c r="E43" s="11" t="s">
        <v>396</v>
      </c>
      <c r="F43" s="11" t="s">
        <v>358</v>
      </c>
      <c r="G43" s="11"/>
      <c r="H43" s="11" t="s">
        <v>366</v>
      </c>
      <c r="I43" s="11"/>
      <c r="J43" s="11" t="s">
        <v>343</v>
      </c>
    </row>
    <row r="44" customFormat="false" ht="15" hidden="false" customHeight="true" outlineLevel="0" collapsed="false">
      <c r="A44" s="11" t="s">
        <v>443</v>
      </c>
      <c r="B44" s="11" t="s">
        <v>444</v>
      </c>
      <c r="C44" s="11" t="s">
        <v>355</v>
      </c>
      <c r="D44" s="11"/>
      <c r="E44" s="11" t="s">
        <v>356</v>
      </c>
      <c r="F44" s="11" t="s">
        <v>353</v>
      </c>
      <c r="G44" s="11"/>
      <c r="H44" s="11"/>
      <c r="I44" s="11"/>
      <c r="J44" s="11" t="s">
        <v>343</v>
      </c>
    </row>
    <row r="45" customFormat="false" ht="15" hidden="false" customHeight="true" outlineLevel="0" collapsed="false">
      <c r="A45" s="11" t="s">
        <v>445</v>
      </c>
      <c r="B45" s="11" t="s">
        <v>446</v>
      </c>
      <c r="C45" s="11" t="s">
        <v>346</v>
      </c>
      <c r="D45" s="11" t="s">
        <v>395</v>
      </c>
      <c r="E45" s="11" t="s">
        <v>396</v>
      </c>
      <c r="F45" s="11" t="s">
        <v>447</v>
      </c>
      <c r="G45" s="11" t="s">
        <v>129</v>
      </c>
      <c r="H45" s="11"/>
      <c r="I45" s="11"/>
      <c r="J45" s="11" t="s">
        <v>343</v>
      </c>
      <c r="O45" s="1" t="n">
        <f aca="false">'Behovsmodell (75p)'!$B$76</f>
        <v>111099</v>
      </c>
      <c r="P45" s="1" t="n">
        <f aca="false">('Behovsmodell (75p)'!$B$76)/12</f>
        <v>9258.25</v>
      </c>
    </row>
    <row r="46" customFormat="false" ht="15" hidden="false" customHeight="true" outlineLevel="0" collapsed="false">
      <c r="A46" s="11" t="s">
        <v>448</v>
      </c>
      <c r="B46" s="11" t="s">
        <v>449</v>
      </c>
      <c r="C46" s="11" t="s">
        <v>245</v>
      </c>
      <c r="D46" s="11" t="s">
        <v>395</v>
      </c>
      <c r="E46" s="11" t="s">
        <v>396</v>
      </c>
      <c r="F46" s="11" t="s">
        <v>450</v>
      </c>
      <c r="G46" s="11" t="s">
        <v>129</v>
      </c>
      <c r="H46" s="11"/>
      <c r="I46" s="11"/>
      <c r="J46" s="11" t="s">
        <v>343</v>
      </c>
      <c r="O46" s="1" t="n">
        <f aca="false">'Behovsmodell (75p)'!$B$76</f>
        <v>111099</v>
      </c>
      <c r="P46" s="1" t="n">
        <f aca="false">('Behovsmodell (75p)'!$B$76)/12</f>
        <v>9258.25</v>
      </c>
    </row>
    <row r="47" customFormat="false" ht="15" hidden="false" customHeight="true" outlineLevel="0" collapsed="false">
      <c r="A47" s="11" t="s">
        <v>451</v>
      </c>
      <c r="B47" s="11" t="s">
        <v>338</v>
      </c>
      <c r="C47" s="11" t="s">
        <v>339</v>
      </c>
      <c r="D47" s="11" t="s">
        <v>366</v>
      </c>
      <c r="E47" s="11" t="s">
        <v>341</v>
      </c>
      <c r="F47" s="11" t="s">
        <v>452</v>
      </c>
      <c r="G47" s="11"/>
      <c r="H47" s="11" t="s">
        <v>366</v>
      </c>
      <c r="I47" s="11"/>
      <c r="J47" s="11" t="s">
        <v>343</v>
      </c>
    </row>
    <row r="48" customFormat="false" ht="15" hidden="false" customHeight="true" outlineLevel="0" collapsed="false">
      <c r="A48" s="11" t="s">
        <v>453</v>
      </c>
      <c r="B48" s="11" t="s">
        <v>338</v>
      </c>
      <c r="C48" s="11" t="s">
        <v>339</v>
      </c>
      <c r="D48" s="11"/>
      <c r="E48" s="11" t="s">
        <v>356</v>
      </c>
      <c r="F48" s="11" t="s">
        <v>441</v>
      </c>
      <c r="G48" s="11"/>
      <c r="H48" s="11"/>
      <c r="I48" s="11"/>
      <c r="J48" s="11" t="s">
        <v>343</v>
      </c>
    </row>
    <row r="49" customFormat="false" ht="15" hidden="false" customHeight="true" outlineLevel="0" collapsed="false">
      <c r="A49" s="11" t="s">
        <v>454</v>
      </c>
      <c r="B49" s="11" t="s">
        <v>380</v>
      </c>
      <c r="C49" s="11" t="s">
        <v>381</v>
      </c>
      <c r="D49" s="11" t="s">
        <v>347</v>
      </c>
      <c r="E49" s="11"/>
      <c r="F49" s="11" t="s">
        <v>353</v>
      </c>
      <c r="G49" s="11" t="s">
        <v>31</v>
      </c>
      <c r="H49" s="11"/>
      <c r="I49" s="11"/>
      <c r="J49" s="11" t="s">
        <v>343</v>
      </c>
      <c r="O49" s="1" t="n">
        <f aca="false">'Behovsmodell (75p)'!$B$62</f>
        <v>85559</v>
      </c>
      <c r="P49" s="1" t="n">
        <f aca="false">('Behovsmodell (75p)'!$B$62)/12</f>
        <v>7129.91666666667</v>
      </c>
    </row>
    <row r="50" customFormat="false" ht="15" hidden="false" customHeight="true" outlineLevel="0" collapsed="false">
      <c r="A50" s="11" t="s">
        <v>455</v>
      </c>
      <c r="B50" s="11" t="s">
        <v>456</v>
      </c>
      <c r="C50" s="11" t="s">
        <v>457</v>
      </c>
      <c r="D50" s="11"/>
      <c r="E50" s="11"/>
      <c r="F50" s="11" t="s">
        <v>458</v>
      </c>
      <c r="G50" s="11"/>
      <c r="H50" s="11"/>
      <c r="I50" s="11"/>
      <c r="J50" s="11" t="s">
        <v>343</v>
      </c>
      <c r="K50" s="1" t="s">
        <v>459</v>
      </c>
      <c r="L50" s="1" t="s">
        <v>460</v>
      </c>
      <c r="N50" s="1" t="s">
        <v>461</v>
      </c>
    </row>
    <row r="51" customFormat="false" ht="15" hidden="false" customHeight="true" outlineLevel="0" collapsed="false">
      <c r="A51" s="11" t="s">
        <v>462</v>
      </c>
      <c r="B51" s="11"/>
      <c r="C51" s="11" t="s">
        <v>339</v>
      </c>
      <c r="D51" s="11" t="s">
        <v>340</v>
      </c>
      <c r="E51" s="11" t="s">
        <v>341</v>
      </c>
      <c r="F51" s="11" t="s">
        <v>358</v>
      </c>
      <c r="G51" s="11"/>
      <c r="H51" s="11" t="s">
        <v>340</v>
      </c>
      <c r="I51" s="11"/>
      <c r="J51" s="11" t="s">
        <v>343</v>
      </c>
    </row>
    <row r="52" customFormat="false" ht="15" hidden="false" customHeight="true" outlineLevel="0" collapsed="false">
      <c r="A52" s="11" t="s">
        <v>463</v>
      </c>
      <c r="B52" s="11" t="s">
        <v>449</v>
      </c>
      <c r="C52" s="11" t="s">
        <v>245</v>
      </c>
      <c r="D52" s="11" t="s">
        <v>340</v>
      </c>
      <c r="E52" s="11" t="s">
        <v>341</v>
      </c>
      <c r="F52" s="11" t="s">
        <v>464</v>
      </c>
      <c r="G52" s="11"/>
      <c r="H52" s="11" t="s">
        <v>340</v>
      </c>
      <c r="I52" s="11"/>
      <c r="J52" s="11" t="s">
        <v>343</v>
      </c>
      <c r="K52" s="1" t="s">
        <v>465</v>
      </c>
      <c r="L52" s="1" t="s">
        <v>466</v>
      </c>
      <c r="M52" s="1" t="s">
        <v>467</v>
      </c>
      <c r="N52" s="1" t="s">
        <v>468</v>
      </c>
    </row>
    <row r="53" customFormat="false" ht="15" hidden="false" customHeight="true" outlineLevel="0" collapsed="false">
      <c r="A53" s="11" t="s">
        <v>469</v>
      </c>
      <c r="B53" s="11" t="s">
        <v>470</v>
      </c>
      <c r="C53" s="11" t="s">
        <v>339</v>
      </c>
      <c r="D53" s="11"/>
      <c r="E53" s="11" t="s">
        <v>396</v>
      </c>
      <c r="F53" s="11" t="s">
        <v>353</v>
      </c>
      <c r="G53" s="11"/>
      <c r="H53" s="11"/>
      <c r="I53" s="11"/>
      <c r="J53" s="11" t="s">
        <v>343</v>
      </c>
    </row>
    <row r="54" customFormat="false" ht="15" hidden="false" customHeight="true" outlineLevel="0" collapsed="false">
      <c r="A54" s="11" t="s">
        <v>471</v>
      </c>
      <c r="B54" s="11"/>
      <c r="C54" s="11" t="s">
        <v>361</v>
      </c>
      <c r="D54" s="11"/>
      <c r="E54" s="11" t="s">
        <v>356</v>
      </c>
      <c r="F54" s="11" t="s">
        <v>472</v>
      </c>
      <c r="G54" s="11"/>
      <c r="H54" s="11"/>
      <c r="I54" s="11"/>
      <c r="J54" s="11" t="s">
        <v>343</v>
      </c>
    </row>
    <row r="55" customFormat="false" ht="15" hidden="false" customHeight="true" outlineLevel="0" collapsed="false">
      <c r="A55" s="11" t="s">
        <v>473</v>
      </c>
      <c r="B55" s="11" t="s">
        <v>338</v>
      </c>
      <c r="C55" s="11" t="s">
        <v>339</v>
      </c>
      <c r="D55" s="11" t="s">
        <v>340</v>
      </c>
      <c r="E55" s="11" t="s">
        <v>341</v>
      </c>
      <c r="F55" s="11" t="s">
        <v>358</v>
      </c>
      <c r="G55" s="11"/>
      <c r="H55" s="11" t="s">
        <v>340</v>
      </c>
      <c r="I55" s="11"/>
      <c r="J55" s="11" t="s">
        <v>343</v>
      </c>
    </row>
    <row r="56" customFormat="false" ht="15" hidden="false" customHeight="true" outlineLevel="0" collapsed="false">
      <c r="A56" s="11" t="s">
        <v>474</v>
      </c>
      <c r="B56" s="11" t="s">
        <v>338</v>
      </c>
      <c r="C56" s="11" t="s">
        <v>339</v>
      </c>
      <c r="D56" s="11" t="s">
        <v>340</v>
      </c>
      <c r="E56" s="11" t="s">
        <v>341</v>
      </c>
      <c r="F56" s="11" t="s">
        <v>475</v>
      </c>
      <c r="G56" s="11"/>
      <c r="H56" s="11" t="s">
        <v>340</v>
      </c>
      <c r="I56" s="11"/>
      <c r="J56" s="11" t="s">
        <v>343</v>
      </c>
    </row>
    <row r="57" customFormat="false" ht="15" hidden="false" customHeight="true" outlineLevel="0" collapsed="false">
      <c r="A57" s="11" t="s">
        <v>476</v>
      </c>
      <c r="B57" s="11"/>
      <c r="C57" s="11" t="s">
        <v>339</v>
      </c>
      <c r="D57" s="11" t="s">
        <v>340</v>
      </c>
      <c r="E57" s="11" t="s">
        <v>341</v>
      </c>
      <c r="F57" s="11"/>
      <c r="G57" s="11"/>
      <c r="H57" s="11" t="s">
        <v>340</v>
      </c>
      <c r="I57" s="11"/>
      <c r="J57" s="11" t="s">
        <v>343</v>
      </c>
    </row>
    <row r="58" customFormat="false" ht="15" hidden="false" customHeight="true" outlineLevel="0" collapsed="false">
      <c r="A58" s="11" t="s">
        <v>477</v>
      </c>
      <c r="B58" s="11"/>
      <c r="C58" s="11" t="s">
        <v>339</v>
      </c>
      <c r="D58" s="11" t="s">
        <v>340</v>
      </c>
      <c r="E58" s="11" t="s">
        <v>341</v>
      </c>
      <c r="F58" s="11" t="s">
        <v>478</v>
      </c>
      <c r="G58" s="11"/>
      <c r="H58" s="11" t="s">
        <v>340</v>
      </c>
      <c r="I58" s="11"/>
      <c r="J58" s="11" t="s">
        <v>343</v>
      </c>
    </row>
    <row r="59" customFormat="false" ht="15" hidden="false" customHeight="true" outlineLevel="0" collapsed="false">
      <c r="A59" s="11" t="s">
        <v>479</v>
      </c>
      <c r="B59" s="11"/>
      <c r="C59" s="11" t="s">
        <v>457</v>
      </c>
      <c r="D59" s="11" t="s">
        <v>340</v>
      </c>
      <c r="E59" s="11" t="s">
        <v>341</v>
      </c>
      <c r="F59" s="11"/>
      <c r="G59" s="11"/>
      <c r="H59" s="11" t="s">
        <v>340</v>
      </c>
      <c r="I59" s="11"/>
      <c r="J59" s="11" t="s">
        <v>343</v>
      </c>
    </row>
    <row r="60" customFormat="false" ht="15" hidden="false" customHeight="true" outlineLevel="0" collapsed="false">
      <c r="A60" s="11" t="s">
        <v>480</v>
      </c>
      <c r="B60" s="11" t="s">
        <v>481</v>
      </c>
      <c r="C60" s="11" t="s">
        <v>457</v>
      </c>
      <c r="D60" s="11"/>
      <c r="E60" s="11" t="s">
        <v>396</v>
      </c>
      <c r="F60" s="11"/>
      <c r="G60" s="11"/>
      <c r="H60" s="11"/>
      <c r="I60" s="11"/>
      <c r="J60" s="11" t="s">
        <v>343</v>
      </c>
      <c r="K60" s="1" t="s">
        <v>482</v>
      </c>
      <c r="L60" s="1" t="s">
        <v>483</v>
      </c>
      <c r="M60" s="1" t="s">
        <v>484</v>
      </c>
      <c r="N60" s="1" t="s">
        <v>485</v>
      </c>
    </row>
    <row r="61" customFormat="false" ht="15" hidden="false" customHeight="true" outlineLevel="0" collapsed="false">
      <c r="A61" s="11" t="s">
        <v>486</v>
      </c>
      <c r="B61" s="11" t="s">
        <v>487</v>
      </c>
      <c r="C61" s="11" t="s">
        <v>414</v>
      </c>
      <c r="D61" s="11"/>
      <c r="E61" s="11" t="s">
        <v>356</v>
      </c>
      <c r="F61" s="11" t="s">
        <v>358</v>
      </c>
      <c r="G61" s="11"/>
      <c r="H61" s="11"/>
      <c r="I61" s="11"/>
      <c r="J61" s="11" t="s">
        <v>343</v>
      </c>
      <c r="N61" s="1" t="s">
        <v>371</v>
      </c>
    </row>
    <row r="62" customFormat="false" ht="15" hidden="false" customHeight="true" outlineLevel="0" collapsed="false">
      <c r="A62" s="11" t="s">
        <v>488</v>
      </c>
      <c r="B62" s="11" t="s">
        <v>487</v>
      </c>
      <c r="C62" s="11" t="s">
        <v>414</v>
      </c>
      <c r="D62" s="11"/>
      <c r="E62" s="11" t="s">
        <v>396</v>
      </c>
      <c r="F62" s="11"/>
      <c r="G62" s="11"/>
      <c r="H62" s="11"/>
      <c r="I62" s="11"/>
      <c r="J62" s="11" t="s">
        <v>343</v>
      </c>
      <c r="N62" s="1" t="s">
        <v>371</v>
      </c>
    </row>
    <row r="63" customFormat="false" ht="15" hidden="false" customHeight="true" outlineLevel="0" collapsed="false">
      <c r="A63" s="11" t="s">
        <v>489</v>
      </c>
      <c r="B63" s="11" t="s">
        <v>487</v>
      </c>
      <c r="C63" s="11" t="s">
        <v>414</v>
      </c>
      <c r="D63" s="11"/>
      <c r="E63" s="11" t="s">
        <v>396</v>
      </c>
      <c r="F63" s="11" t="s">
        <v>358</v>
      </c>
      <c r="G63" s="11"/>
      <c r="H63" s="11"/>
      <c r="I63" s="11"/>
      <c r="J63" s="11" t="s">
        <v>343</v>
      </c>
      <c r="N63" s="1" t="s">
        <v>371</v>
      </c>
    </row>
    <row r="64" customFormat="false" ht="15" hidden="false" customHeight="true" outlineLevel="0" collapsed="false">
      <c r="A64" s="11" t="s">
        <v>490</v>
      </c>
      <c r="B64" s="11" t="s">
        <v>491</v>
      </c>
      <c r="C64" s="11" t="s">
        <v>381</v>
      </c>
      <c r="D64" s="11" t="s">
        <v>366</v>
      </c>
      <c r="E64" s="11" t="s">
        <v>356</v>
      </c>
      <c r="F64" s="11" t="s">
        <v>358</v>
      </c>
      <c r="G64" s="11"/>
      <c r="H64" s="11" t="s">
        <v>366</v>
      </c>
      <c r="I64" s="11"/>
      <c r="J64" s="11" t="s">
        <v>343</v>
      </c>
    </row>
    <row r="65" customFormat="false" ht="15" hidden="false" customHeight="true" outlineLevel="0" collapsed="false">
      <c r="A65" s="11" t="s">
        <v>492</v>
      </c>
      <c r="B65" s="11" t="s">
        <v>368</v>
      </c>
      <c r="C65" s="11" t="s">
        <v>361</v>
      </c>
      <c r="D65" s="11" t="s">
        <v>366</v>
      </c>
      <c r="E65" s="11" t="s">
        <v>341</v>
      </c>
      <c r="F65" s="11"/>
      <c r="G65" s="11"/>
      <c r="H65" s="11" t="s">
        <v>366</v>
      </c>
      <c r="I65" s="11"/>
      <c r="J65" s="11" t="s">
        <v>343</v>
      </c>
    </row>
    <row r="66" customFormat="false" ht="15" hidden="false" customHeight="true" outlineLevel="0" collapsed="false">
      <c r="A66" s="11" t="s">
        <v>493</v>
      </c>
      <c r="B66" s="11" t="s">
        <v>338</v>
      </c>
      <c r="C66" s="11" t="s">
        <v>339</v>
      </c>
      <c r="D66" s="11" t="s">
        <v>340</v>
      </c>
      <c r="E66" s="11" t="s">
        <v>341</v>
      </c>
      <c r="F66" s="11"/>
      <c r="G66" s="11"/>
      <c r="H66" s="11" t="s">
        <v>340</v>
      </c>
      <c r="I66" s="11"/>
      <c r="J66" s="11" t="s">
        <v>343</v>
      </c>
    </row>
    <row r="67" customFormat="false" ht="15" hidden="false" customHeight="true" outlineLevel="0" collapsed="false">
      <c r="A67" s="11" t="s">
        <v>494</v>
      </c>
      <c r="B67" s="11" t="s">
        <v>350</v>
      </c>
      <c r="C67" s="11" t="s">
        <v>351</v>
      </c>
      <c r="D67" s="11"/>
      <c r="E67" s="11" t="s">
        <v>356</v>
      </c>
      <c r="F67" s="11" t="s">
        <v>362</v>
      </c>
      <c r="G67" s="11"/>
      <c r="H67" s="11"/>
      <c r="I67" s="11"/>
      <c r="J67" s="11" t="s">
        <v>343</v>
      </c>
    </row>
    <row r="68" customFormat="false" ht="15" hidden="false" customHeight="true" outlineLevel="0" collapsed="false">
      <c r="A68" s="11" t="s">
        <v>495</v>
      </c>
      <c r="B68" s="11" t="s">
        <v>350</v>
      </c>
      <c r="C68" s="11" t="s">
        <v>351</v>
      </c>
      <c r="D68" s="11"/>
      <c r="E68" s="11" t="s">
        <v>396</v>
      </c>
      <c r="F68" s="11" t="s">
        <v>496</v>
      </c>
      <c r="G68" s="11"/>
      <c r="H68" s="11"/>
      <c r="I68" s="11"/>
      <c r="J68" s="11" t="s">
        <v>343</v>
      </c>
    </row>
    <row r="69" customFormat="false" ht="15" hidden="false" customHeight="true" outlineLevel="0" collapsed="false">
      <c r="A69" s="11" t="s">
        <v>497</v>
      </c>
      <c r="B69" s="11" t="s">
        <v>498</v>
      </c>
      <c r="C69" s="11" t="s">
        <v>339</v>
      </c>
      <c r="D69" s="11"/>
      <c r="E69" s="11" t="s">
        <v>356</v>
      </c>
      <c r="F69" s="11"/>
      <c r="G69" s="11"/>
      <c r="H69" s="11"/>
      <c r="I69" s="11"/>
      <c r="J69" s="11" t="s">
        <v>343</v>
      </c>
    </row>
    <row r="70" customFormat="false" ht="15" hidden="false" customHeight="true" outlineLevel="0" collapsed="false">
      <c r="A70" s="11" t="s">
        <v>499</v>
      </c>
      <c r="B70" s="11" t="s">
        <v>500</v>
      </c>
      <c r="C70" s="11" t="s">
        <v>355</v>
      </c>
      <c r="D70" s="11"/>
      <c r="E70" s="11" t="s">
        <v>356</v>
      </c>
      <c r="F70" s="11" t="s">
        <v>358</v>
      </c>
      <c r="G70" s="11"/>
      <c r="H70" s="11"/>
      <c r="I70" s="11"/>
      <c r="J70" s="11" t="s">
        <v>343</v>
      </c>
      <c r="K70" s="1" t="s">
        <v>501</v>
      </c>
      <c r="L70" s="1" t="s">
        <v>502</v>
      </c>
      <c r="M70" s="1" t="s">
        <v>503</v>
      </c>
      <c r="N70" s="1" t="s">
        <v>504</v>
      </c>
    </row>
    <row r="71" customFormat="false" ht="15" hidden="false" customHeight="true" outlineLevel="0" collapsed="false">
      <c r="A71" s="11" t="s">
        <v>505</v>
      </c>
      <c r="B71" s="11" t="s">
        <v>506</v>
      </c>
      <c r="C71" s="11" t="s">
        <v>414</v>
      </c>
      <c r="D71" s="11" t="s">
        <v>366</v>
      </c>
      <c r="E71" s="11" t="s">
        <v>356</v>
      </c>
      <c r="F71" s="11"/>
      <c r="G71" s="11"/>
      <c r="H71" s="11" t="s">
        <v>366</v>
      </c>
      <c r="I71" s="11"/>
      <c r="J71" s="11" t="s">
        <v>343</v>
      </c>
    </row>
    <row r="72" customFormat="false" ht="15" hidden="false" customHeight="true" outlineLevel="0" collapsed="false">
      <c r="A72" s="24" t="s">
        <v>507</v>
      </c>
      <c r="B72" s="24"/>
      <c r="C72" s="24" t="s">
        <v>351</v>
      </c>
      <c r="D72" s="24" t="s">
        <v>352</v>
      </c>
      <c r="E72" s="24" t="s">
        <v>356</v>
      </c>
      <c r="F72" s="24"/>
      <c r="G72" s="24" t="s">
        <v>84</v>
      </c>
      <c r="H72" s="24"/>
      <c r="I72" s="24" t="s">
        <v>384</v>
      </c>
      <c r="J72" s="24" t="s">
        <v>343</v>
      </c>
      <c r="K72" s="1" t="s">
        <v>508</v>
      </c>
      <c r="L72" s="1" t="s">
        <v>509</v>
      </c>
      <c r="N72" s="1" t="s">
        <v>510</v>
      </c>
      <c r="O72" s="1" t="n">
        <f aca="false">'Behovsmodell (75p)'!$B$68</f>
        <v>330040.65</v>
      </c>
      <c r="P72" s="1" t="n">
        <f aca="false">('Behovsmodell (75p)'!$B$68)/12</f>
        <v>27503.3875</v>
      </c>
    </row>
    <row r="73" customFormat="false" ht="15" hidden="false" customHeight="true" outlineLevel="0" collapsed="false">
      <c r="A73" s="11" t="s">
        <v>511</v>
      </c>
      <c r="B73" s="11"/>
      <c r="C73" s="11" t="s">
        <v>339</v>
      </c>
      <c r="D73" s="11"/>
      <c r="E73" s="11" t="s">
        <v>356</v>
      </c>
      <c r="F73" s="11" t="s">
        <v>512</v>
      </c>
      <c r="G73" s="11"/>
      <c r="H73" s="11"/>
      <c r="I73" s="11"/>
      <c r="J73" s="11" t="s">
        <v>343</v>
      </c>
    </row>
    <row r="74" customFormat="false" ht="15" hidden="false" customHeight="true" outlineLevel="0" collapsed="false">
      <c r="A74" s="11" t="s">
        <v>513</v>
      </c>
      <c r="B74" s="11" t="s">
        <v>514</v>
      </c>
      <c r="C74" s="11" t="s">
        <v>414</v>
      </c>
      <c r="D74" s="11"/>
      <c r="E74" s="11" t="s">
        <v>356</v>
      </c>
      <c r="F74" s="11"/>
      <c r="G74" s="11"/>
      <c r="H74" s="11"/>
      <c r="I74" s="11"/>
      <c r="J74" s="11" t="s">
        <v>343</v>
      </c>
    </row>
    <row r="75" customFormat="false" ht="15" hidden="false" customHeight="true" outlineLevel="0" collapsed="false">
      <c r="A75" s="11" t="s">
        <v>515</v>
      </c>
      <c r="B75" s="11"/>
      <c r="C75" s="11" t="s">
        <v>457</v>
      </c>
      <c r="D75" s="11" t="s">
        <v>366</v>
      </c>
      <c r="E75" s="11" t="s">
        <v>341</v>
      </c>
      <c r="F75" s="11" t="s">
        <v>516</v>
      </c>
      <c r="G75" s="11"/>
      <c r="H75" s="11" t="s">
        <v>366</v>
      </c>
      <c r="I75" s="11"/>
      <c r="J75" s="11" t="s">
        <v>343</v>
      </c>
    </row>
    <row r="76" customFormat="false" ht="15" hidden="false" customHeight="true" outlineLevel="0" collapsed="false">
      <c r="A76" s="11" t="s">
        <v>515</v>
      </c>
      <c r="B76" s="11" t="s">
        <v>514</v>
      </c>
      <c r="C76" s="11" t="s">
        <v>414</v>
      </c>
      <c r="D76" s="11" t="s">
        <v>366</v>
      </c>
      <c r="E76" s="11" t="s">
        <v>341</v>
      </c>
      <c r="F76" s="11" t="s">
        <v>516</v>
      </c>
      <c r="G76" s="11"/>
      <c r="H76" s="11" t="s">
        <v>366</v>
      </c>
      <c r="I76" s="11"/>
      <c r="J76" s="11" t="s">
        <v>343</v>
      </c>
    </row>
    <row r="77" customFormat="false" ht="15" hidden="false" customHeight="true" outlineLevel="0" collapsed="false">
      <c r="A77" s="11" t="s">
        <v>517</v>
      </c>
      <c r="B77" s="11"/>
      <c r="C77" s="11" t="s">
        <v>351</v>
      </c>
      <c r="D77" s="11" t="s">
        <v>347</v>
      </c>
      <c r="E77" s="11"/>
      <c r="F77" s="11"/>
      <c r="G77" s="11" t="s">
        <v>31</v>
      </c>
      <c r="H77" s="11"/>
      <c r="I77" s="11"/>
      <c r="J77" s="11" t="s">
        <v>343</v>
      </c>
      <c r="O77" s="1" t="n">
        <f aca="false">'Behovsmodell (75p)'!$B$62</f>
        <v>85559</v>
      </c>
      <c r="P77" s="1" t="n">
        <f aca="false">('Behovsmodell (75p)'!$B$62)/12</f>
        <v>7129.91666666667</v>
      </c>
    </row>
    <row r="78" customFormat="false" ht="15" hidden="false" customHeight="true" outlineLevel="0" collapsed="false">
      <c r="A78" s="11" t="s">
        <v>518</v>
      </c>
      <c r="B78" s="11"/>
      <c r="C78" s="11" t="s">
        <v>351</v>
      </c>
      <c r="D78" s="11"/>
      <c r="E78" s="11" t="s">
        <v>356</v>
      </c>
      <c r="F78" s="11" t="s">
        <v>353</v>
      </c>
      <c r="G78" s="11"/>
      <c r="H78" s="11"/>
      <c r="I78" s="11"/>
      <c r="J78" s="11" t="s">
        <v>343</v>
      </c>
    </row>
    <row r="79" customFormat="false" ht="15" hidden="false" customHeight="true" outlineLevel="0" collapsed="false">
      <c r="A79" s="11" t="s">
        <v>519</v>
      </c>
      <c r="B79" s="11"/>
      <c r="C79" s="11" t="s">
        <v>339</v>
      </c>
      <c r="D79" s="11"/>
      <c r="E79" s="11" t="s">
        <v>356</v>
      </c>
      <c r="F79" s="11"/>
      <c r="G79" s="11"/>
      <c r="H79" s="11"/>
      <c r="I79" s="11"/>
      <c r="J79" s="11" t="s">
        <v>343</v>
      </c>
    </row>
    <row r="80" customFormat="false" ht="15" hidden="false" customHeight="true" outlineLevel="0" collapsed="false">
      <c r="A80" s="11" t="s">
        <v>520</v>
      </c>
      <c r="B80" s="11"/>
      <c r="C80" s="11" t="s">
        <v>346</v>
      </c>
      <c r="D80" s="11" t="s">
        <v>340</v>
      </c>
      <c r="E80" s="11" t="s">
        <v>341</v>
      </c>
      <c r="F80" s="11"/>
      <c r="G80" s="11"/>
      <c r="H80" s="11" t="s">
        <v>340</v>
      </c>
      <c r="I80" s="11"/>
      <c r="J80" s="11" t="s">
        <v>343</v>
      </c>
    </row>
    <row r="81" customFormat="false" ht="15" hidden="false" customHeight="true" outlineLevel="0" collapsed="false">
      <c r="A81" s="11" t="s">
        <v>521</v>
      </c>
      <c r="B81" s="11" t="s">
        <v>522</v>
      </c>
      <c r="C81" s="11" t="s">
        <v>351</v>
      </c>
      <c r="D81" s="11"/>
      <c r="E81" s="11" t="s">
        <v>356</v>
      </c>
      <c r="F81" s="11" t="s">
        <v>362</v>
      </c>
      <c r="G81" s="11"/>
      <c r="H81" s="11"/>
      <c r="I81" s="11"/>
      <c r="J81" s="11" t="s">
        <v>343</v>
      </c>
    </row>
    <row r="82" customFormat="false" ht="15" hidden="false" customHeight="true" outlineLevel="0" collapsed="false">
      <c r="A82" s="11" t="s">
        <v>523</v>
      </c>
      <c r="B82" s="11"/>
      <c r="C82" s="11" t="s">
        <v>339</v>
      </c>
      <c r="D82" s="11" t="s">
        <v>347</v>
      </c>
      <c r="E82" s="11"/>
      <c r="F82" s="11" t="s">
        <v>358</v>
      </c>
      <c r="G82" s="11" t="s">
        <v>31</v>
      </c>
      <c r="H82" s="11"/>
      <c r="I82" s="11"/>
      <c r="J82" s="11" t="s">
        <v>343</v>
      </c>
      <c r="O82" s="1" t="n">
        <f aca="false">'Behovsmodell (75p)'!$B$62</f>
        <v>85559</v>
      </c>
      <c r="P82" s="1" t="n">
        <f aca="false">('Behovsmodell (75p)'!$B$62)/12</f>
        <v>7129.91666666667</v>
      </c>
    </row>
    <row r="83" customFormat="false" ht="15" hidden="false" customHeight="true" outlineLevel="0" collapsed="false">
      <c r="A83" s="11" t="s">
        <v>524</v>
      </c>
      <c r="B83" s="11"/>
      <c r="C83" s="11" t="s">
        <v>339</v>
      </c>
      <c r="D83" s="11" t="s">
        <v>347</v>
      </c>
      <c r="E83" s="11"/>
      <c r="F83" s="11"/>
      <c r="G83" s="11" t="s">
        <v>31</v>
      </c>
      <c r="H83" s="11"/>
      <c r="I83" s="11"/>
      <c r="J83" s="11" t="s">
        <v>343</v>
      </c>
      <c r="O83" s="1" t="n">
        <f aca="false">'Behovsmodell (75p)'!$B$62</f>
        <v>85559</v>
      </c>
      <c r="P83" s="1" t="n">
        <f aca="false">('Behovsmodell (75p)'!$B$62)/12</f>
        <v>7129.91666666667</v>
      </c>
    </row>
    <row r="84" customFormat="false" ht="15" hidden="false" customHeight="true" outlineLevel="0" collapsed="false">
      <c r="A84" s="11" t="s">
        <v>525</v>
      </c>
      <c r="B84" s="11"/>
      <c r="C84" s="11" t="s">
        <v>339</v>
      </c>
      <c r="D84" s="11" t="s">
        <v>347</v>
      </c>
      <c r="E84" s="11" t="s">
        <v>356</v>
      </c>
      <c r="F84" s="11" t="s">
        <v>526</v>
      </c>
      <c r="G84" s="11" t="s">
        <v>31</v>
      </c>
      <c r="H84" s="11"/>
      <c r="I84" s="11"/>
      <c r="J84" s="11" t="s">
        <v>343</v>
      </c>
      <c r="O84" s="1" t="n">
        <f aca="false">'Behovsmodell (75p)'!$B$62</f>
        <v>85559</v>
      </c>
      <c r="P84" s="1" t="n">
        <f aca="false">('Behovsmodell (75p)'!$B$62)/12</f>
        <v>7129.91666666667</v>
      </c>
    </row>
    <row r="85" customFormat="false" ht="15" hidden="false" customHeight="true" outlineLevel="0" collapsed="false">
      <c r="A85" s="11" t="s">
        <v>527</v>
      </c>
      <c r="B85" s="11" t="s">
        <v>528</v>
      </c>
      <c r="C85" s="11" t="s">
        <v>355</v>
      </c>
      <c r="D85" s="11"/>
      <c r="E85" s="11" t="s">
        <v>356</v>
      </c>
      <c r="F85" s="11"/>
      <c r="G85" s="11"/>
      <c r="H85" s="11"/>
      <c r="I85" s="11"/>
      <c r="J85" s="11" t="s">
        <v>343</v>
      </c>
    </row>
    <row r="86" customFormat="false" ht="15" hidden="false" customHeight="true" outlineLevel="0" collapsed="false">
      <c r="A86" s="11" t="s">
        <v>529</v>
      </c>
      <c r="B86" s="11"/>
      <c r="C86" s="11" t="s">
        <v>457</v>
      </c>
      <c r="D86" s="11" t="s">
        <v>530</v>
      </c>
      <c r="E86" s="11"/>
      <c r="F86" s="11" t="s">
        <v>516</v>
      </c>
      <c r="G86" s="11" t="s">
        <v>77</v>
      </c>
      <c r="H86" s="11"/>
      <c r="I86" s="11"/>
      <c r="J86" s="11" t="s">
        <v>343</v>
      </c>
      <c r="K86" s="1" t="s">
        <v>531</v>
      </c>
      <c r="L86" s="1" t="s">
        <v>532</v>
      </c>
      <c r="N86" s="1" t="s">
        <v>533</v>
      </c>
      <c r="O86" s="1" t="n">
        <f aca="false">'Behovsmodell (75p)'!$B$67</f>
        <v>58231.2</v>
      </c>
      <c r="P86" s="1" t="n">
        <f aca="false">('Behovsmodell (75p)'!$B$67)/12</f>
        <v>4852.6</v>
      </c>
    </row>
    <row r="87" customFormat="false" ht="15" hidden="false" customHeight="true" outlineLevel="0" collapsed="false">
      <c r="A87" s="11" t="s">
        <v>534</v>
      </c>
      <c r="B87" s="11"/>
      <c r="C87" s="11" t="s">
        <v>245</v>
      </c>
      <c r="D87" s="11"/>
      <c r="E87" s="11" t="s">
        <v>356</v>
      </c>
      <c r="F87" s="11"/>
      <c r="G87" s="11"/>
      <c r="H87" s="11"/>
      <c r="I87" s="11"/>
      <c r="J87" s="11" t="s">
        <v>343</v>
      </c>
    </row>
    <row r="88" customFormat="false" ht="15" hidden="false" customHeight="true" outlineLevel="0" collapsed="false">
      <c r="A88" s="11" t="s">
        <v>535</v>
      </c>
      <c r="B88" s="11" t="s">
        <v>536</v>
      </c>
      <c r="C88" s="11" t="s">
        <v>536</v>
      </c>
      <c r="D88" s="11"/>
      <c r="E88" s="11" t="s">
        <v>356</v>
      </c>
      <c r="F88" s="11" t="s">
        <v>358</v>
      </c>
      <c r="G88" s="11"/>
      <c r="H88" s="11"/>
      <c r="I88" s="11"/>
      <c r="J88" s="11" t="s">
        <v>343</v>
      </c>
    </row>
    <row r="89" customFormat="false" ht="15" hidden="false" customHeight="true" outlineLevel="0" collapsed="false">
      <c r="A89" s="11" t="s">
        <v>537</v>
      </c>
      <c r="B89" s="11"/>
      <c r="C89" s="11" t="s">
        <v>355</v>
      </c>
      <c r="D89" s="11"/>
      <c r="E89" s="11"/>
      <c r="F89" s="11"/>
      <c r="G89" s="11"/>
      <c r="H89" s="11"/>
      <c r="I89" s="11"/>
      <c r="J89" s="11" t="s">
        <v>343</v>
      </c>
    </row>
    <row r="90" customFormat="false" ht="15" hidden="false" customHeight="true" outlineLevel="0" collapsed="false">
      <c r="A90" s="11" t="s">
        <v>538</v>
      </c>
      <c r="B90" s="11"/>
      <c r="C90" s="11" t="s">
        <v>339</v>
      </c>
      <c r="D90" s="11"/>
      <c r="E90" s="11" t="s">
        <v>356</v>
      </c>
      <c r="F90" s="11" t="s">
        <v>539</v>
      </c>
      <c r="G90" s="11"/>
      <c r="H90" s="11"/>
      <c r="I90" s="11"/>
      <c r="J90" s="11" t="s">
        <v>343</v>
      </c>
    </row>
    <row r="91" customFormat="false" ht="15" hidden="false" customHeight="true" outlineLevel="0" collapsed="false">
      <c r="A91" s="11" t="s">
        <v>540</v>
      </c>
      <c r="B91" s="11"/>
      <c r="C91" s="11" t="s">
        <v>355</v>
      </c>
      <c r="D91" s="11"/>
      <c r="E91" s="11" t="s">
        <v>356</v>
      </c>
      <c r="F91" s="11" t="s">
        <v>353</v>
      </c>
      <c r="G91" s="11"/>
      <c r="H91" s="11"/>
      <c r="I91" s="11"/>
      <c r="J91" s="11" t="s">
        <v>343</v>
      </c>
    </row>
    <row r="92" customFormat="false" ht="15" hidden="false" customHeight="true" outlineLevel="0" collapsed="false">
      <c r="A92" s="11" t="s">
        <v>541</v>
      </c>
      <c r="B92" s="11"/>
      <c r="C92" s="11" t="s">
        <v>355</v>
      </c>
      <c r="D92" s="11"/>
      <c r="E92" s="11" t="s">
        <v>356</v>
      </c>
      <c r="F92" s="11" t="s">
        <v>542</v>
      </c>
      <c r="G92" s="11"/>
      <c r="H92" s="11"/>
      <c r="I92" s="11"/>
      <c r="J92" s="11" t="s">
        <v>343</v>
      </c>
      <c r="K92" s="1" t="s">
        <v>543</v>
      </c>
      <c r="L92" s="1" t="s">
        <v>544</v>
      </c>
      <c r="M92" s="1" t="s">
        <v>545</v>
      </c>
      <c r="N92" s="1" t="s">
        <v>546</v>
      </c>
    </row>
    <row r="93" customFormat="false" ht="15" hidden="false" customHeight="true" outlineLevel="0" collapsed="false">
      <c r="A93" s="11" t="s">
        <v>547</v>
      </c>
      <c r="B93" s="11" t="s">
        <v>446</v>
      </c>
      <c r="C93" s="11" t="s">
        <v>346</v>
      </c>
      <c r="D93" s="11"/>
      <c r="E93" s="11" t="s">
        <v>396</v>
      </c>
      <c r="F93" s="11" t="s">
        <v>548</v>
      </c>
      <c r="G93" s="11"/>
      <c r="H93" s="11"/>
      <c r="I93" s="11"/>
      <c r="J93" s="11" t="s">
        <v>343</v>
      </c>
    </row>
    <row r="94" customFormat="false" ht="15" hidden="false" customHeight="true" outlineLevel="0" collapsed="false">
      <c r="A94" s="24" t="s">
        <v>549</v>
      </c>
      <c r="B94" s="24" t="s">
        <v>550</v>
      </c>
      <c r="C94" s="24" t="s">
        <v>355</v>
      </c>
      <c r="D94" s="24" t="s">
        <v>347</v>
      </c>
      <c r="E94" s="24" t="s">
        <v>396</v>
      </c>
      <c r="F94" s="24" t="s">
        <v>358</v>
      </c>
      <c r="G94" s="24" t="s">
        <v>31</v>
      </c>
      <c r="H94" s="24"/>
      <c r="I94" s="24" t="s">
        <v>384</v>
      </c>
      <c r="J94" s="24" t="s">
        <v>343</v>
      </c>
      <c r="O94" s="1" t="n">
        <f aca="false">'Behovsmodell (75p)'!$B$62</f>
        <v>85559</v>
      </c>
      <c r="P94" s="1" t="n">
        <f aca="false">('Behovsmodell (75p)'!$B$62)/12</f>
        <v>7129.91666666667</v>
      </c>
    </row>
    <row r="95" customFormat="false" ht="15" hidden="false" customHeight="true" outlineLevel="0" collapsed="false">
      <c r="A95" s="11" t="s">
        <v>551</v>
      </c>
      <c r="B95" s="11" t="s">
        <v>437</v>
      </c>
      <c r="C95" s="11" t="s">
        <v>361</v>
      </c>
      <c r="D95" s="11" t="s">
        <v>347</v>
      </c>
      <c r="E95" s="11" t="s">
        <v>356</v>
      </c>
      <c r="F95" s="11"/>
      <c r="G95" s="11" t="s">
        <v>31</v>
      </c>
      <c r="H95" s="11"/>
      <c r="I95" s="11"/>
      <c r="J95" s="11" t="s">
        <v>343</v>
      </c>
      <c r="O95" s="1" t="n">
        <f aca="false">'Behovsmodell (75p)'!$B$62</f>
        <v>85559</v>
      </c>
      <c r="P95" s="1" t="n">
        <f aca="false">('Behovsmodell (75p)'!$B$62)/12</f>
        <v>7129.91666666667</v>
      </c>
    </row>
    <row r="96" customFormat="false" ht="15" hidden="false" customHeight="true" outlineLevel="0" collapsed="false">
      <c r="A96" s="11" t="s">
        <v>552</v>
      </c>
      <c r="B96" s="11" t="s">
        <v>553</v>
      </c>
      <c r="C96" s="11" t="s">
        <v>339</v>
      </c>
      <c r="D96" s="11" t="s">
        <v>347</v>
      </c>
      <c r="E96" s="11"/>
      <c r="F96" s="11"/>
      <c r="G96" s="11" t="s">
        <v>31</v>
      </c>
      <c r="H96" s="11"/>
      <c r="I96" s="11"/>
      <c r="J96" s="11" t="s">
        <v>343</v>
      </c>
      <c r="O96" s="1" t="n">
        <f aca="false">'Behovsmodell (75p)'!$B$62</f>
        <v>85559</v>
      </c>
      <c r="P96" s="1" t="n">
        <f aca="false">('Behovsmodell (75p)'!$B$62)/12</f>
        <v>7129.91666666667</v>
      </c>
    </row>
    <row r="97" customFormat="false" ht="15" hidden="false" customHeight="true" outlineLevel="0" collapsed="false">
      <c r="A97" s="11" t="s">
        <v>554</v>
      </c>
      <c r="B97" s="11"/>
      <c r="C97" s="11" t="s">
        <v>361</v>
      </c>
      <c r="D97" s="11" t="s">
        <v>555</v>
      </c>
      <c r="E97" s="11" t="s">
        <v>356</v>
      </c>
      <c r="F97" s="11" t="s">
        <v>358</v>
      </c>
      <c r="G97" s="11" t="s">
        <v>556</v>
      </c>
      <c r="H97" s="11"/>
      <c r="I97" s="11"/>
      <c r="J97" s="11" t="s">
        <v>343</v>
      </c>
      <c r="O97" s="1" t="n">
        <f aca="false">'Behovsmodell (75p)'!$B$68+'Behovsmodell (75p)'!$B$76</f>
        <v>441139.65</v>
      </c>
      <c r="P97" s="1" t="n">
        <f aca="false">('Behovsmodell (75p)'!$B$68+'Behovsmodell (75p)'!$B$76)/12</f>
        <v>36761.6375</v>
      </c>
    </row>
    <row r="98" customFormat="false" ht="15" hidden="false" customHeight="true" outlineLevel="0" collapsed="false">
      <c r="A98" s="11" t="s">
        <v>557</v>
      </c>
      <c r="B98" s="11"/>
      <c r="C98" s="11" t="s">
        <v>361</v>
      </c>
      <c r="D98" s="11"/>
      <c r="E98" s="11"/>
      <c r="F98" s="11"/>
      <c r="G98" s="11"/>
      <c r="H98" s="11"/>
      <c r="I98" s="11"/>
      <c r="J98" s="11" t="s">
        <v>343</v>
      </c>
    </row>
    <row r="99" customFormat="false" ht="15" hidden="false" customHeight="true" outlineLevel="0" collapsed="false">
      <c r="A99" s="24" t="s">
        <v>558</v>
      </c>
      <c r="B99" s="24"/>
      <c r="C99" s="24" t="s">
        <v>361</v>
      </c>
      <c r="D99" s="24" t="s">
        <v>347</v>
      </c>
      <c r="E99" s="24" t="s">
        <v>356</v>
      </c>
      <c r="F99" s="24" t="s">
        <v>559</v>
      </c>
      <c r="G99" s="24" t="s">
        <v>31</v>
      </c>
      <c r="H99" s="24"/>
      <c r="I99" s="24" t="s">
        <v>560</v>
      </c>
      <c r="J99" s="24" t="s">
        <v>343</v>
      </c>
      <c r="O99" s="1" t="n">
        <f aca="false">'Behovsmodell (75p)'!$B$62</f>
        <v>85559</v>
      </c>
      <c r="P99" s="1" t="n">
        <f aca="false">('Behovsmodell (75p)'!$B$62)/12</f>
        <v>7129.91666666667</v>
      </c>
    </row>
    <row r="100" customFormat="false" ht="15" hidden="false" customHeight="true" outlineLevel="0" collapsed="false">
      <c r="A100" s="11" t="s">
        <v>561</v>
      </c>
      <c r="B100" s="11"/>
      <c r="C100" s="11" t="s">
        <v>351</v>
      </c>
      <c r="D100" s="11"/>
      <c r="E100" s="11" t="s">
        <v>356</v>
      </c>
      <c r="F100" s="11" t="s">
        <v>358</v>
      </c>
      <c r="G100" s="11"/>
      <c r="H100" s="11"/>
      <c r="I100" s="11"/>
      <c r="J100" s="11" t="s">
        <v>343</v>
      </c>
      <c r="K100" s="1" t="s">
        <v>562</v>
      </c>
      <c r="L100" s="1" t="s">
        <v>563</v>
      </c>
      <c r="M100" s="1" t="s">
        <v>564</v>
      </c>
      <c r="N100" s="1" t="s">
        <v>565</v>
      </c>
    </row>
    <row r="101" customFormat="false" ht="15" hidden="false" customHeight="true" outlineLevel="0" collapsed="false">
      <c r="A101" s="11" t="s">
        <v>566</v>
      </c>
      <c r="B101" s="11"/>
      <c r="C101" s="11" t="s">
        <v>361</v>
      </c>
      <c r="D101" s="11" t="s">
        <v>340</v>
      </c>
      <c r="E101" s="11" t="s">
        <v>341</v>
      </c>
      <c r="F101" s="11"/>
      <c r="G101" s="11"/>
      <c r="H101" s="11" t="s">
        <v>340</v>
      </c>
      <c r="I101" s="11"/>
      <c r="J101" s="11" t="s">
        <v>343</v>
      </c>
    </row>
    <row r="102" customFormat="false" ht="15" hidden="false" customHeight="true" outlineLevel="0" collapsed="false">
      <c r="A102" s="11" t="s">
        <v>567</v>
      </c>
      <c r="B102" s="11"/>
      <c r="C102" s="11" t="s">
        <v>351</v>
      </c>
      <c r="D102" s="11"/>
      <c r="E102" s="11" t="s">
        <v>356</v>
      </c>
      <c r="F102" s="11"/>
      <c r="G102" s="11"/>
      <c r="H102" s="11"/>
      <c r="I102" s="11"/>
      <c r="J102" s="11" t="s">
        <v>343</v>
      </c>
    </row>
    <row r="103" customFormat="false" ht="15" hidden="false" customHeight="true" outlineLevel="0" collapsed="false">
      <c r="A103" s="11" t="s">
        <v>568</v>
      </c>
      <c r="B103" s="11" t="s">
        <v>569</v>
      </c>
      <c r="C103" s="11" t="s">
        <v>388</v>
      </c>
      <c r="D103" s="11"/>
      <c r="E103" s="11" t="s">
        <v>356</v>
      </c>
      <c r="F103" s="11"/>
      <c r="G103" s="11"/>
      <c r="H103" s="11"/>
      <c r="I103" s="11"/>
      <c r="J103" s="11" t="s">
        <v>343</v>
      </c>
      <c r="K103" s="1" t="s">
        <v>570</v>
      </c>
      <c r="N103" s="1" t="s">
        <v>571</v>
      </c>
    </row>
    <row r="104" customFormat="false" ht="15" hidden="false" customHeight="true" outlineLevel="0" collapsed="false">
      <c r="A104" s="11" t="s">
        <v>572</v>
      </c>
      <c r="B104" s="11" t="s">
        <v>338</v>
      </c>
      <c r="C104" s="11" t="s">
        <v>339</v>
      </c>
      <c r="D104" s="11" t="s">
        <v>340</v>
      </c>
      <c r="E104" s="11" t="s">
        <v>341</v>
      </c>
      <c r="F104" s="11" t="s">
        <v>573</v>
      </c>
      <c r="G104" s="11"/>
      <c r="H104" s="11" t="s">
        <v>340</v>
      </c>
      <c r="I104" s="11"/>
      <c r="J104" s="11" t="s">
        <v>343</v>
      </c>
    </row>
    <row r="105" customFormat="false" ht="15" hidden="false" customHeight="true" outlineLevel="0" collapsed="false">
      <c r="A105" s="11" t="s">
        <v>574</v>
      </c>
      <c r="B105" s="11"/>
      <c r="C105" s="11" t="s">
        <v>339</v>
      </c>
      <c r="D105" s="11" t="s">
        <v>340</v>
      </c>
      <c r="E105" s="11" t="s">
        <v>341</v>
      </c>
      <c r="F105" s="11"/>
      <c r="G105" s="11"/>
      <c r="H105" s="11" t="s">
        <v>340</v>
      </c>
      <c r="I105" s="11"/>
      <c r="J105" s="11" t="s">
        <v>343</v>
      </c>
    </row>
    <row r="106" customFormat="false" ht="15" hidden="false" customHeight="true" outlineLevel="0" collapsed="false">
      <c r="A106" s="11" t="s">
        <v>575</v>
      </c>
      <c r="B106" s="11" t="s">
        <v>444</v>
      </c>
      <c r="C106" s="11" t="s">
        <v>355</v>
      </c>
      <c r="D106" s="11" t="s">
        <v>340</v>
      </c>
      <c r="E106" s="11" t="s">
        <v>341</v>
      </c>
      <c r="F106" s="11"/>
      <c r="G106" s="11"/>
      <c r="H106" s="11" t="s">
        <v>340</v>
      </c>
      <c r="I106" s="11"/>
      <c r="J106" s="11" t="s">
        <v>343</v>
      </c>
    </row>
    <row r="107" customFormat="false" ht="15" hidden="false" customHeight="true" outlineLevel="0" collapsed="false">
      <c r="A107" s="11" t="s">
        <v>576</v>
      </c>
      <c r="B107" s="11" t="s">
        <v>424</v>
      </c>
      <c r="C107" s="11" t="s">
        <v>339</v>
      </c>
      <c r="D107" s="11" t="s">
        <v>347</v>
      </c>
      <c r="E107" s="11" t="s">
        <v>356</v>
      </c>
      <c r="F107" s="11"/>
      <c r="G107" s="11" t="s">
        <v>31</v>
      </c>
      <c r="H107" s="11"/>
      <c r="I107" s="11"/>
      <c r="J107" s="11" t="s">
        <v>343</v>
      </c>
      <c r="O107" s="1" t="n">
        <f aca="false">'Behovsmodell (75p)'!$B$62</f>
        <v>85559</v>
      </c>
      <c r="P107" s="1" t="n">
        <f aca="false">('Behovsmodell (75p)'!$B$62)/12</f>
        <v>7129.91666666667</v>
      </c>
    </row>
    <row r="108" customFormat="false" ht="15" hidden="false" customHeight="true" outlineLevel="0" collapsed="false">
      <c r="A108" s="11" t="s">
        <v>577</v>
      </c>
      <c r="B108" s="11"/>
      <c r="C108" s="11" t="s">
        <v>361</v>
      </c>
      <c r="D108" s="11"/>
      <c r="E108" s="11" t="s">
        <v>356</v>
      </c>
      <c r="F108" s="11" t="s">
        <v>578</v>
      </c>
      <c r="G108" s="11"/>
      <c r="H108" s="11"/>
      <c r="I108" s="11"/>
      <c r="J108" s="11" t="s">
        <v>343</v>
      </c>
    </row>
    <row r="109" customFormat="false" ht="15" hidden="false" customHeight="true" outlineLevel="0" collapsed="false">
      <c r="A109" s="11" t="s">
        <v>579</v>
      </c>
      <c r="B109" s="11"/>
      <c r="C109" s="11" t="s">
        <v>457</v>
      </c>
      <c r="D109" s="11" t="s">
        <v>347</v>
      </c>
      <c r="E109" s="11" t="s">
        <v>396</v>
      </c>
      <c r="F109" s="11" t="s">
        <v>358</v>
      </c>
      <c r="G109" s="11" t="s">
        <v>31</v>
      </c>
      <c r="H109" s="11"/>
      <c r="I109" s="11"/>
      <c r="J109" s="11" t="s">
        <v>343</v>
      </c>
      <c r="O109" s="1" t="n">
        <f aca="false">'Behovsmodell (75p)'!$B$62</f>
        <v>85559</v>
      </c>
      <c r="P109" s="1" t="n">
        <f aca="false">('Behovsmodell (75p)'!$B$62)/12</f>
        <v>7129.91666666667</v>
      </c>
    </row>
    <row r="110" customFormat="false" ht="15" hidden="false" customHeight="true" outlineLevel="0" collapsed="false">
      <c r="A110" s="11" t="s">
        <v>580</v>
      </c>
      <c r="B110" s="11" t="s">
        <v>569</v>
      </c>
      <c r="C110" s="11" t="s">
        <v>388</v>
      </c>
      <c r="D110" s="11"/>
      <c r="E110" s="11" t="s">
        <v>396</v>
      </c>
      <c r="F110" s="11" t="s">
        <v>358</v>
      </c>
      <c r="G110" s="11"/>
      <c r="H110" s="11"/>
      <c r="I110" s="11"/>
      <c r="J110" s="11" t="s">
        <v>343</v>
      </c>
    </row>
    <row r="111" customFormat="false" ht="15" hidden="false" customHeight="true" outlineLevel="0" collapsed="false">
      <c r="A111" s="11" t="s">
        <v>581</v>
      </c>
      <c r="B111" s="11"/>
      <c r="C111" s="11" t="s">
        <v>339</v>
      </c>
      <c r="D111" s="11" t="s">
        <v>375</v>
      </c>
      <c r="E111" s="11"/>
      <c r="F111" s="11" t="s">
        <v>358</v>
      </c>
      <c r="G111" s="11" t="s">
        <v>68</v>
      </c>
      <c r="H111" s="11"/>
      <c r="I111" s="11"/>
      <c r="J111" s="11" t="s">
        <v>343</v>
      </c>
      <c r="O111" s="1" t="n">
        <f aca="false">'Behovsmodell (75p)'!$B$66</f>
        <v>206427.05</v>
      </c>
      <c r="P111" s="1" t="n">
        <f aca="false">('Behovsmodell (75p)'!$B$66)/12</f>
        <v>17202.2541666667</v>
      </c>
    </row>
    <row r="112" customFormat="false" ht="15" hidden="false" customHeight="true" outlineLevel="0" collapsed="false">
      <c r="A112" s="11" t="s">
        <v>582</v>
      </c>
      <c r="B112" s="11" t="s">
        <v>345</v>
      </c>
      <c r="C112" s="11" t="s">
        <v>346</v>
      </c>
      <c r="D112" s="11"/>
      <c r="E112" s="11" t="s">
        <v>396</v>
      </c>
      <c r="F112" s="11" t="s">
        <v>353</v>
      </c>
      <c r="G112" s="11"/>
      <c r="H112" s="11"/>
      <c r="I112" s="11"/>
      <c r="J112" s="11" t="s">
        <v>343</v>
      </c>
    </row>
    <row r="113" customFormat="false" ht="15" hidden="false" customHeight="true" outlineLevel="0" collapsed="false">
      <c r="A113" s="11" t="s">
        <v>583</v>
      </c>
      <c r="B113" s="11"/>
      <c r="C113" s="11" t="s">
        <v>339</v>
      </c>
      <c r="D113" s="11" t="s">
        <v>352</v>
      </c>
      <c r="E113" s="11"/>
      <c r="F113" s="11"/>
      <c r="G113" s="11" t="s">
        <v>84</v>
      </c>
      <c r="H113" s="11"/>
      <c r="I113" s="11"/>
      <c r="J113" s="11" t="s">
        <v>343</v>
      </c>
      <c r="K113" s="1" t="s">
        <v>584</v>
      </c>
      <c r="N113" s="1" t="s">
        <v>585</v>
      </c>
      <c r="O113" s="1" t="n">
        <f aca="false">'Behovsmodell (75p)'!$B$68</f>
        <v>330040.65</v>
      </c>
      <c r="P113" s="1" t="n">
        <f aca="false">('Behovsmodell (75p)'!$B$68)/12</f>
        <v>27503.3875</v>
      </c>
    </row>
    <row r="114" customFormat="false" ht="15" hidden="false" customHeight="true" outlineLevel="0" collapsed="false">
      <c r="A114" s="11" t="s">
        <v>583</v>
      </c>
      <c r="B114" s="11"/>
      <c r="C114" s="11" t="s">
        <v>361</v>
      </c>
      <c r="D114" s="11" t="s">
        <v>352</v>
      </c>
      <c r="E114" s="11" t="s">
        <v>356</v>
      </c>
      <c r="F114" s="11"/>
      <c r="G114" s="11" t="s">
        <v>84</v>
      </c>
      <c r="H114" s="11"/>
      <c r="I114" s="11"/>
      <c r="J114" s="11" t="s">
        <v>343</v>
      </c>
      <c r="K114" s="1" t="s">
        <v>584</v>
      </c>
      <c r="N114" s="1" t="s">
        <v>585</v>
      </c>
      <c r="O114" s="1" t="n">
        <f aca="false">'Behovsmodell (75p)'!$B$68</f>
        <v>330040.65</v>
      </c>
      <c r="P114" s="1" t="n">
        <f aca="false">('Behovsmodell (75p)'!$B$68)/12</f>
        <v>27503.3875</v>
      </c>
    </row>
    <row r="115" customFormat="false" ht="15" hidden="false" customHeight="true" outlineLevel="0" collapsed="false">
      <c r="A115" s="11" t="s">
        <v>586</v>
      </c>
      <c r="B115" s="11"/>
      <c r="C115" s="11" t="s">
        <v>339</v>
      </c>
      <c r="D115" s="11" t="s">
        <v>340</v>
      </c>
      <c r="E115" s="11" t="s">
        <v>341</v>
      </c>
      <c r="F115" s="11"/>
      <c r="G115" s="11"/>
      <c r="H115" s="11" t="s">
        <v>340</v>
      </c>
      <c r="I115" s="11"/>
      <c r="J115" s="11" t="s">
        <v>343</v>
      </c>
    </row>
    <row r="116" customFormat="false" ht="15" hidden="false" customHeight="true" outlineLevel="0" collapsed="false">
      <c r="A116" s="11" t="s">
        <v>587</v>
      </c>
      <c r="B116" s="11"/>
      <c r="C116" s="11" t="s">
        <v>361</v>
      </c>
      <c r="D116" s="11" t="s">
        <v>366</v>
      </c>
      <c r="E116" s="11" t="s">
        <v>356</v>
      </c>
      <c r="F116" s="11" t="s">
        <v>353</v>
      </c>
      <c r="G116" s="11"/>
      <c r="H116" s="11" t="s">
        <v>366</v>
      </c>
      <c r="I116" s="11"/>
      <c r="J116" s="11" t="s">
        <v>343</v>
      </c>
      <c r="K116" s="1" t="s">
        <v>588</v>
      </c>
      <c r="L116" s="1" t="s">
        <v>589</v>
      </c>
      <c r="M116" s="1" t="s">
        <v>590</v>
      </c>
      <c r="N116" s="1" t="s">
        <v>591</v>
      </c>
    </row>
    <row r="117" customFormat="false" ht="15" hidden="false" customHeight="true" outlineLevel="0" collapsed="false">
      <c r="A117" s="11" t="s">
        <v>592</v>
      </c>
      <c r="B117" s="11"/>
      <c r="C117" s="11" t="s">
        <v>361</v>
      </c>
      <c r="D117" s="11" t="s">
        <v>366</v>
      </c>
      <c r="E117" s="11" t="s">
        <v>341</v>
      </c>
      <c r="F117" s="11" t="s">
        <v>593</v>
      </c>
      <c r="G117" s="11"/>
      <c r="H117" s="11" t="s">
        <v>366</v>
      </c>
      <c r="I117" s="11"/>
      <c r="J117" s="11" t="s">
        <v>343</v>
      </c>
    </row>
    <row r="118" customFormat="false" ht="15" hidden="false" customHeight="true" outlineLevel="0" collapsed="false">
      <c r="A118" s="11" t="s">
        <v>594</v>
      </c>
      <c r="B118" s="11" t="s">
        <v>595</v>
      </c>
      <c r="C118" s="11" t="s">
        <v>536</v>
      </c>
      <c r="D118" s="11" t="s">
        <v>347</v>
      </c>
      <c r="E118" s="11"/>
      <c r="F118" s="11" t="s">
        <v>362</v>
      </c>
      <c r="G118" s="11" t="s">
        <v>31</v>
      </c>
      <c r="H118" s="11"/>
      <c r="I118" s="11"/>
      <c r="J118" s="11" t="s">
        <v>343</v>
      </c>
      <c r="O118" s="1" t="n">
        <f aca="false">'Behovsmodell (75p)'!$B$62</f>
        <v>85559</v>
      </c>
      <c r="P118" s="1" t="n">
        <f aca="false">('Behovsmodell (75p)'!$B$62)/12</f>
        <v>7129.91666666667</v>
      </c>
    </row>
    <row r="119" customFormat="false" ht="15" hidden="false" customHeight="true" outlineLevel="0" collapsed="false">
      <c r="A119" s="11" t="s">
        <v>596</v>
      </c>
      <c r="B119" s="11" t="s">
        <v>597</v>
      </c>
      <c r="C119" s="11" t="s">
        <v>597</v>
      </c>
      <c r="D119" s="11" t="s">
        <v>340</v>
      </c>
      <c r="E119" s="11" t="s">
        <v>341</v>
      </c>
      <c r="F119" s="11" t="s">
        <v>598</v>
      </c>
      <c r="G119" s="11"/>
      <c r="H119" s="11" t="s">
        <v>340</v>
      </c>
      <c r="I119" s="11"/>
      <c r="J119" s="11" t="s">
        <v>343</v>
      </c>
    </row>
    <row r="120" customFormat="false" ht="15" hidden="false" customHeight="true" outlineLevel="0" collapsed="false">
      <c r="A120" s="11" t="s">
        <v>599</v>
      </c>
      <c r="B120" s="11" t="s">
        <v>338</v>
      </c>
      <c r="C120" s="11" t="s">
        <v>339</v>
      </c>
      <c r="D120" s="11" t="s">
        <v>340</v>
      </c>
      <c r="E120" s="11" t="s">
        <v>341</v>
      </c>
      <c r="F120" s="11"/>
      <c r="G120" s="11"/>
      <c r="H120" s="11" t="s">
        <v>340</v>
      </c>
      <c r="I120" s="11"/>
      <c r="J120" s="11" t="s">
        <v>343</v>
      </c>
    </row>
    <row r="121" customFormat="false" ht="15" hidden="false" customHeight="true" outlineLevel="0" collapsed="false">
      <c r="A121" s="11" t="s">
        <v>600</v>
      </c>
      <c r="B121" s="11" t="s">
        <v>528</v>
      </c>
      <c r="C121" s="11" t="s">
        <v>355</v>
      </c>
      <c r="D121" s="11" t="s">
        <v>340</v>
      </c>
      <c r="E121" s="11" t="s">
        <v>341</v>
      </c>
      <c r="F121" s="11"/>
      <c r="G121" s="11"/>
      <c r="H121" s="11" t="s">
        <v>340</v>
      </c>
      <c r="I121" s="11"/>
      <c r="J121" s="11" t="s">
        <v>343</v>
      </c>
    </row>
    <row r="122" customFormat="false" ht="15" hidden="false" customHeight="true" outlineLevel="0" collapsed="false">
      <c r="A122" s="11" t="s">
        <v>601</v>
      </c>
      <c r="B122" s="11" t="s">
        <v>602</v>
      </c>
      <c r="C122" s="11" t="s">
        <v>339</v>
      </c>
      <c r="D122" s="11" t="s">
        <v>340</v>
      </c>
      <c r="E122" s="11" t="s">
        <v>341</v>
      </c>
      <c r="F122" s="11" t="s">
        <v>358</v>
      </c>
      <c r="G122" s="11"/>
      <c r="H122" s="11" t="s">
        <v>340</v>
      </c>
      <c r="I122" s="11"/>
      <c r="J122" s="11" t="s">
        <v>343</v>
      </c>
    </row>
    <row r="123" customFormat="false" ht="15" hidden="false" customHeight="true" outlineLevel="0" collapsed="false">
      <c r="A123" s="11" t="s">
        <v>603</v>
      </c>
      <c r="B123" s="11" t="s">
        <v>380</v>
      </c>
      <c r="C123" s="11" t="s">
        <v>381</v>
      </c>
      <c r="D123" s="11" t="s">
        <v>340</v>
      </c>
      <c r="E123" s="11"/>
      <c r="F123" s="11"/>
      <c r="G123" s="11"/>
      <c r="H123" s="11" t="s">
        <v>340</v>
      </c>
      <c r="I123" s="11"/>
      <c r="J123" s="11" t="s">
        <v>343</v>
      </c>
    </row>
    <row r="124" customFormat="false" ht="15" hidden="false" customHeight="true" outlineLevel="0" collapsed="false">
      <c r="A124" s="11" t="s">
        <v>604</v>
      </c>
      <c r="B124" s="11"/>
      <c r="C124" s="11" t="s">
        <v>339</v>
      </c>
      <c r="D124" s="11" t="s">
        <v>340</v>
      </c>
      <c r="E124" s="11" t="s">
        <v>341</v>
      </c>
      <c r="F124" s="11"/>
      <c r="G124" s="11"/>
      <c r="H124" s="11" t="s">
        <v>340</v>
      </c>
      <c r="I124" s="11"/>
      <c r="J124" s="11" t="s">
        <v>343</v>
      </c>
    </row>
    <row r="125" customFormat="false" ht="15" hidden="false" customHeight="true" outlineLevel="0" collapsed="false">
      <c r="A125" s="11" t="s">
        <v>605</v>
      </c>
      <c r="B125" s="11" t="s">
        <v>606</v>
      </c>
      <c r="C125" s="11" t="s">
        <v>414</v>
      </c>
      <c r="D125" s="11" t="s">
        <v>340</v>
      </c>
      <c r="E125" s="11" t="s">
        <v>341</v>
      </c>
      <c r="F125" s="11"/>
      <c r="G125" s="11"/>
      <c r="H125" s="11" t="s">
        <v>340</v>
      </c>
      <c r="I125" s="11"/>
      <c r="J125" s="11" t="s">
        <v>343</v>
      </c>
    </row>
    <row r="126" customFormat="false" ht="15" hidden="false" customHeight="true" outlineLevel="0" collapsed="false">
      <c r="A126" s="11" t="s">
        <v>607</v>
      </c>
      <c r="B126" s="11" t="s">
        <v>514</v>
      </c>
      <c r="C126" s="11" t="s">
        <v>414</v>
      </c>
      <c r="D126" s="11" t="s">
        <v>340</v>
      </c>
      <c r="E126" s="11" t="s">
        <v>341</v>
      </c>
      <c r="F126" s="11" t="s">
        <v>358</v>
      </c>
      <c r="G126" s="11"/>
      <c r="H126" s="11" t="s">
        <v>340</v>
      </c>
      <c r="I126" s="11"/>
      <c r="J126" s="11" t="s">
        <v>343</v>
      </c>
    </row>
    <row r="127" customFormat="false" ht="15" hidden="false" customHeight="true" outlineLevel="0" collapsed="false">
      <c r="A127" s="11" t="s">
        <v>608</v>
      </c>
      <c r="B127" s="11" t="s">
        <v>609</v>
      </c>
      <c r="C127" s="11" t="s">
        <v>339</v>
      </c>
      <c r="D127" s="11" t="s">
        <v>340</v>
      </c>
      <c r="E127" s="11" t="s">
        <v>341</v>
      </c>
      <c r="F127" s="11" t="s">
        <v>358</v>
      </c>
      <c r="G127" s="11"/>
      <c r="H127" s="11" t="s">
        <v>340</v>
      </c>
      <c r="I127" s="11"/>
      <c r="J127" s="11" t="s">
        <v>343</v>
      </c>
    </row>
    <row r="128" customFormat="false" ht="15" hidden="false" customHeight="true" outlineLevel="0" collapsed="false">
      <c r="A128" s="11" t="s">
        <v>610</v>
      </c>
      <c r="B128" s="11" t="s">
        <v>611</v>
      </c>
      <c r="C128" s="11" t="s">
        <v>339</v>
      </c>
      <c r="D128" s="11" t="s">
        <v>340</v>
      </c>
      <c r="E128" s="11" t="s">
        <v>341</v>
      </c>
      <c r="F128" s="11"/>
      <c r="G128" s="11"/>
      <c r="H128" s="11" t="s">
        <v>340</v>
      </c>
      <c r="I128" s="11"/>
      <c r="J128" s="11" t="s">
        <v>343</v>
      </c>
    </row>
    <row r="129" customFormat="false" ht="15" hidden="false" customHeight="true" outlineLevel="0" collapsed="false">
      <c r="A129" s="11" t="s">
        <v>612</v>
      </c>
      <c r="B129" s="11" t="s">
        <v>449</v>
      </c>
      <c r="C129" s="11" t="s">
        <v>245</v>
      </c>
      <c r="D129" s="11" t="s">
        <v>340</v>
      </c>
      <c r="E129" s="11" t="s">
        <v>341</v>
      </c>
      <c r="F129" s="11" t="s">
        <v>613</v>
      </c>
      <c r="G129" s="11"/>
      <c r="H129" s="11" t="s">
        <v>340</v>
      </c>
      <c r="I129" s="11"/>
      <c r="J129" s="11" t="s">
        <v>343</v>
      </c>
    </row>
    <row r="130" customFormat="false" ht="15" hidden="false" customHeight="true" outlineLevel="0" collapsed="false">
      <c r="A130" s="11" t="s">
        <v>614</v>
      </c>
      <c r="B130" s="11" t="s">
        <v>597</v>
      </c>
      <c r="C130" s="11" t="s">
        <v>597</v>
      </c>
      <c r="D130" s="11" t="s">
        <v>340</v>
      </c>
      <c r="E130" s="11" t="s">
        <v>341</v>
      </c>
      <c r="F130" s="11" t="s">
        <v>615</v>
      </c>
      <c r="G130" s="11"/>
      <c r="H130" s="11" t="s">
        <v>340</v>
      </c>
      <c r="I130" s="11"/>
      <c r="J130" s="11" t="s">
        <v>343</v>
      </c>
    </row>
    <row r="131" customFormat="false" ht="15" hidden="false" customHeight="true" outlineLevel="0" collapsed="false">
      <c r="A131" s="11" t="s">
        <v>616</v>
      </c>
      <c r="B131" s="11" t="s">
        <v>536</v>
      </c>
      <c r="C131" s="11" t="s">
        <v>536</v>
      </c>
      <c r="D131" s="11" t="s">
        <v>340</v>
      </c>
      <c r="E131" s="11" t="s">
        <v>341</v>
      </c>
      <c r="F131" s="11" t="s">
        <v>617</v>
      </c>
      <c r="G131" s="11"/>
      <c r="H131" s="11" t="s">
        <v>340</v>
      </c>
      <c r="I131" s="11"/>
      <c r="J131" s="11" t="s">
        <v>343</v>
      </c>
    </row>
    <row r="132" customFormat="false" ht="15" hidden="false" customHeight="true" outlineLevel="0" collapsed="false">
      <c r="A132" s="11" t="s">
        <v>618</v>
      </c>
      <c r="B132" s="11" t="s">
        <v>388</v>
      </c>
      <c r="C132" s="11" t="s">
        <v>388</v>
      </c>
      <c r="D132" s="11" t="s">
        <v>340</v>
      </c>
      <c r="E132" s="11" t="s">
        <v>341</v>
      </c>
      <c r="F132" s="11" t="s">
        <v>619</v>
      </c>
      <c r="G132" s="11"/>
      <c r="H132" s="11" t="s">
        <v>340</v>
      </c>
      <c r="I132" s="11"/>
      <c r="J132" s="11" t="s">
        <v>343</v>
      </c>
    </row>
    <row r="133" customFormat="false" ht="15" hidden="false" customHeight="true" outlineLevel="0" collapsed="false">
      <c r="A133" s="11" t="s">
        <v>620</v>
      </c>
      <c r="B133" s="11" t="s">
        <v>522</v>
      </c>
      <c r="C133" s="11" t="s">
        <v>351</v>
      </c>
      <c r="D133" s="11" t="s">
        <v>340</v>
      </c>
      <c r="E133" s="11" t="s">
        <v>341</v>
      </c>
      <c r="F133" s="11"/>
      <c r="G133" s="11"/>
      <c r="H133" s="11" t="s">
        <v>340</v>
      </c>
      <c r="I133" s="11"/>
      <c r="J133" s="11" t="s">
        <v>343</v>
      </c>
    </row>
    <row r="134" customFormat="false" ht="15" hidden="false" customHeight="true" outlineLevel="0" collapsed="false">
      <c r="A134" s="11" t="s">
        <v>621</v>
      </c>
      <c r="B134" s="11" t="s">
        <v>522</v>
      </c>
      <c r="C134" s="11" t="s">
        <v>351</v>
      </c>
      <c r="D134" s="11" t="s">
        <v>340</v>
      </c>
      <c r="E134" s="11" t="s">
        <v>341</v>
      </c>
      <c r="F134" s="11"/>
      <c r="G134" s="11"/>
      <c r="H134" s="11" t="s">
        <v>340</v>
      </c>
      <c r="I134" s="11"/>
      <c r="J134" s="11" t="s">
        <v>343</v>
      </c>
    </row>
    <row r="135" customFormat="false" ht="15" hidden="false" customHeight="true" outlineLevel="0" collapsed="false">
      <c r="A135" s="11" t="s">
        <v>622</v>
      </c>
      <c r="B135" s="11" t="s">
        <v>623</v>
      </c>
      <c r="C135" s="11" t="s">
        <v>351</v>
      </c>
      <c r="D135" s="11" t="s">
        <v>340</v>
      </c>
      <c r="E135" s="11" t="s">
        <v>341</v>
      </c>
      <c r="F135" s="11"/>
      <c r="G135" s="11"/>
      <c r="H135" s="11" t="s">
        <v>340</v>
      </c>
      <c r="I135" s="11"/>
      <c r="J135" s="11" t="s">
        <v>343</v>
      </c>
    </row>
    <row r="136" customFormat="false" ht="15" hidden="false" customHeight="true" outlineLevel="0" collapsed="false">
      <c r="A136" s="11" t="s">
        <v>624</v>
      </c>
      <c r="B136" s="11" t="s">
        <v>338</v>
      </c>
      <c r="C136" s="11" t="s">
        <v>339</v>
      </c>
      <c r="D136" s="11" t="s">
        <v>340</v>
      </c>
      <c r="E136" s="11" t="s">
        <v>341</v>
      </c>
      <c r="F136" s="11"/>
      <c r="G136" s="11"/>
      <c r="H136" s="11" t="s">
        <v>340</v>
      </c>
      <c r="I136" s="11"/>
      <c r="J136" s="11" t="s">
        <v>343</v>
      </c>
    </row>
    <row r="137" customFormat="false" ht="15" hidden="false" customHeight="true" outlineLevel="0" collapsed="false">
      <c r="A137" s="11" t="s">
        <v>625</v>
      </c>
      <c r="B137" s="11"/>
      <c r="C137" s="11" t="s">
        <v>339</v>
      </c>
      <c r="D137" s="11" t="s">
        <v>352</v>
      </c>
      <c r="E137" s="11"/>
      <c r="F137" s="11" t="s">
        <v>626</v>
      </c>
      <c r="G137" s="11" t="s">
        <v>84</v>
      </c>
      <c r="H137" s="11"/>
      <c r="I137" s="11"/>
      <c r="J137" s="11" t="s">
        <v>343</v>
      </c>
      <c r="O137" s="1" t="n">
        <f aca="false">'Behovsmodell (75p)'!$B$68</f>
        <v>330040.65</v>
      </c>
      <c r="P137" s="1" t="n">
        <f aca="false">('Behovsmodell (75p)'!$B$68)/12</f>
        <v>27503.3875</v>
      </c>
    </row>
    <row r="138" customFormat="false" ht="15" hidden="false" customHeight="true" outlineLevel="0" collapsed="false">
      <c r="A138" s="11" t="s">
        <v>627</v>
      </c>
      <c r="B138" s="11"/>
      <c r="C138" s="11" t="s">
        <v>361</v>
      </c>
      <c r="D138" s="11"/>
      <c r="E138" s="11" t="s">
        <v>356</v>
      </c>
      <c r="F138" s="11"/>
      <c r="G138" s="11"/>
      <c r="H138" s="11"/>
      <c r="I138" s="11"/>
      <c r="J138" s="11" t="s">
        <v>343</v>
      </c>
    </row>
    <row r="139" customFormat="false" ht="15" hidden="false" customHeight="true" outlineLevel="0" collapsed="false">
      <c r="A139" s="11" t="s">
        <v>628</v>
      </c>
      <c r="B139" s="11" t="s">
        <v>481</v>
      </c>
      <c r="C139" s="11" t="s">
        <v>457</v>
      </c>
      <c r="D139" s="11" t="s">
        <v>395</v>
      </c>
      <c r="E139" s="11" t="s">
        <v>396</v>
      </c>
      <c r="F139" s="11" t="s">
        <v>629</v>
      </c>
      <c r="G139" s="11" t="s">
        <v>129</v>
      </c>
      <c r="H139" s="11"/>
      <c r="I139" s="11"/>
      <c r="J139" s="11" t="s">
        <v>343</v>
      </c>
      <c r="O139" s="1" t="n">
        <f aca="false">'Behovsmodell (75p)'!$B$76</f>
        <v>111099</v>
      </c>
      <c r="P139" s="1" t="n">
        <f aca="false">('Behovsmodell (75p)'!$B$76)/12</f>
        <v>9258.25</v>
      </c>
    </row>
    <row r="140" customFormat="false" ht="15" hidden="false" customHeight="true" outlineLevel="0" collapsed="false">
      <c r="A140" s="11" t="s">
        <v>630</v>
      </c>
      <c r="B140" s="11" t="s">
        <v>449</v>
      </c>
      <c r="C140" s="11" t="s">
        <v>245</v>
      </c>
      <c r="D140" s="11" t="s">
        <v>395</v>
      </c>
      <c r="E140" s="11" t="s">
        <v>396</v>
      </c>
      <c r="F140" s="11" t="s">
        <v>631</v>
      </c>
      <c r="G140" s="11" t="s">
        <v>129</v>
      </c>
      <c r="H140" s="11"/>
      <c r="I140" s="11"/>
      <c r="J140" s="11" t="s">
        <v>343</v>
      </c>
      <c r="O140" s="1" t="n">
        <f aca="false">'Behovsmodell (75p)'!$B$76</f>
        <v>111099</v>
      </c>
      <c r="P140" s="1" t="n">
        <f aca="false">('Behovsmodell (75p)'!$B$76)/12</f>
        <v>9258.25</v>
      </c>
    </row>
    <row r="141" customFormat="false" ht="15" hidden="false" customHeight="true" outlineLevel="0" collapsed="false">
      <c r="A141" s="11" t="s">
        <v>632</v>
      </c>
      <c r="B141" s="11"/>
      <c r="C141" s="11" t="s">
        <v>351</v>
      </c>
      <c r="D141" s="11" t="s">
        <v>633</v>
      </c>
      <c r="E141" s="11" t="s">
        <v>356</v>
      </c>
      <c r="F141" s="11"/>
      <c r="G141" s="11" t="s">
        <v>634</v>
      </c>
      <c r="H141" s="11"/>
      <c r="I141" s="11"/>
      <c r="J141" s="11" t="s">
        <v>343</v>
      </c>
      <c r="K141" s="1" t="s">
        <v>635</v>
      </c>
      <c r="L141" s="1" t="s">
        <v>636</v>
      </c>
      <c r="M141" s="1" t="s">
        <v>637</v>
      </c>
      <c r="N141" s="1" t="s">
        <v>638</v>
      </c>
      <c r="O141" s="1" t="n">
        <f aca="false">'Behovsmodell (75p)'!$B$62+'Behovsmodell (75p)'!$B$76</f>
        <v>196658</v>
      </c>
      <c r="P141" s="1" t="n">
        <f aca="false">('Behovsmodell (75p)'!$B$62+'Behovsmodell (75p)'!$B$76)/12</f>
        <v>16388.1666666667</v>
      </c>
    </row>
    <row r="142" customFormat="false" ht="15" hidden="false" customHeight="true" outlineLevel="0" collapsed="false">
      <c r="A142" s="11" t="s">
        <v>632</v>
      </c>
      <c r="B142" s="11"/>
      <c r="C142" s="11" t="s">
        <v>355</v>
      </c>
      <c r="D142" s="11" t="s">
        <v>633</v>
      </c>
      <c r="E142" s="11"/>
      <c r="F142" s="11"/>
      <c r="G142" s="11" t="s">
        <v>634</v>
      </c>
      <c r="H142" s="11"/>
      <c r="I142" s="11"/>
      <c r="J142" s="11" t="s">
        <v>343</v>
      </c>
      <c r="K142" s="1" t="s">
        <v>635</v>
      </c>
      <c r="L142" s="1" t="s">
        <v>636</v>
      </c>
      <c r="M142" s="1" t="s">
        <v>637</v>
      </c>
      <c r="N142" s="1" t="s">
        <v>638</v>
      </c>
      <c r="O142" s="1" t="n">
        <f aca="false">'Behovsmodell (75p)'!$B$62+'Behovsmodell (75p)'!$B$76</f>
        <v>196658</v>
      </c>
      <c r="P142" s="1" t="n">
        <f aca="false">('Behovsmodell (75p)'!$B$62+'Behovsmodell (75p)'!$B$76)/12</f>
        <v>16388.1666666667</v>
      </c>
    </row>
    <row r="143" customFormat="false" ht="15" hidden="false" customHeight="true" outlineLevel="0" collapsed="false">
      <c r="A143" s="11" t="s">
        <v>639</v>
      </c>
      <c r="B143" s="11"/>
      <c r="C143" s="11" t="s">
        <v>351</v>
      </c>
      <c r="D143" s="11" t="s">
        <v>395</v>
      </c>
      <c r="E143" s="11" t="s">
        <v>356</v>
      </c>
      <c r="F143" s="11" t="s">
        <v>640</v>
      </c>
      <c r="G143" s="11" t="s">
        <v>129</v>
      </c>
      <c r="H143" s="11"/>
      <c r="I143" s="11"/>
      <c r="J143" s="11" t="s">
        <v>343</v>
      </c>
      <c r="L143" s="1" t="s">
        <v>641</v>
      </c>
      <c r="N143" s="1" t="s">
        <v>642</v>
      </c>
      <c r="O143" s="1" t="n">
        <f aca="false">'Behovsmodell (75p)'!$B$76</f>
        <v>111099</v>
      </c>
      <c r="P143" s="1" t="n">
        <f aca="false">('Behovsmodell (75p)'!$B$76)/12</f>
        <v>9258.25</v>
      </c>
    </row>
    <row r="144" customFormat="false" ht="15" hidden="false" customHeight="true" outlineLevel="0" collapsed="false">
      <c r="A144" s="11" t="s">
        <v>643</v>
      </c>
      <c r="B144" s="11"/>
      <c r="C144" s="11" t="s">
        <v>351</v>
      </c>
      <c r="D144" s="11"/>
      <c r="E144" s="11" t="s">
        <v>356</v>
      </c>
      <c r="F144" s="11" t="s">
        <v>353</v>
      </c>
      <c r="G144" s="11"/>
      <c r="H144" s="11"/>
      <c r="I144" s="11"/>
      <c r="J144" s="11" t="s">
        <v>343</v>
      </c>
    </row>
    <row r="145" customFormat="false" ht="15" hidden="false" customHeight="true" outlineLevel="0" collapsed="false">
      <c r="A145" s="11" t="s">
        <v>643</v>
      </c>
      <c r="B145" s="11" t="s">
        <v>411</v>
      </c>
      <c r="C145" s="11" t="s">
        <v>339</v>
      </c>
      <c r="D145" s="11"/>
      <c r="E145" s="11" t="s">
        <v>356</v>
      </c>
      <c r="F145" s="11" t="s">
        <v>353</v>
      </c>
      <c r="G145" s="11"/>
      <c r="H145" s="11"/>
      <c r="I145" s="11"/>
      <c r="J145" s="11" t="s">
        <v>343</v>
      </c>
    </row>
    <row r="146" customFormat="false" ht="15" hidden="false" customHeight="true" outlineLevel="0" collapsed="false">
      <c r="A146" s="11" t="s">
        <v>644</v>
      </c>
      <c r="B146" s="11"/>
      <c r="C146" s="11" t="s">
        <v>245</v>
      </c>
      <c r="D146" s="11" t="s">
        <v>340</v>
      </c>
      <c r="E146" s="11" t="s">
        <v>341</v>
      </c>
      <c r="F146" s="11"/>
      <c r="G146" s="11"/>
      <c r="H146" s="11" t="s">
        <v>340</v>
      </c>
      <c r="I146" s="11"/>
      <c r="J146" s="11" t="s">
        <v>343</v>
      </c>
    </row>
    <row r="147" customFormat="false" ht="15" hidden="false" customHeight="true" outlineLevel="0" collapsed="false">
      <c r="A147" s="11" t="s">
        <v>645</v>
      </c>
      <c r="B147" s="11" t="s">
        <v>609</v>
      </c>
      <c r="C147" s="11" t="s">
        <v>339</v>
      </c>
      <c r="D147" s="11" t="s">
        <v>340</v>
      </c>
      <c r="E147" s="11" t="s">
        <v>341</v>
      </c>
      <c r="F147" s="11" t="s">
        <v>358</v>
      </c>
      <c r="G147" s="11"/>
      <c r="H147" s="11" t="s">
        <v>340</v>
      </c>
      <c r="I147" s="11"/>
      <c r="J147" s="11" t="s">
        <v>343</v>
      </c>
    </row>
    <row r="148" customFormat="false" ht="15" hidden="false" customHeight="true" outlineLevel="0" collapsed="false">
      <c r="A148" s="11" t="s">
        <v>646</v>
      </c>
      <c r="B148" s="11" t="s">
        <v>245</v>
      </c>
      <c r="C148" s="11" t="s">
        <v>245</v>
      </c>
      <c r="D148" s="11"/>
      <c r="E148" s="11" t="s">
        <v>356</v>
      </c>
      <c r="F148" s="11"/>
      <c r="G148" s="11"/>
      <c r="H148" s="11"/>
      <c r="I148" s="11"/>
      <c r="J148" s="11" t="s">
        <v>343</v>
      </c>
    </row>
    <row r="149" customFormat="false" ht="15" hidden="false" customHeight="true" outlineLevel="0" collapsed="false">
      <c r="A149" s="11" t="s">
        <v>647</v>
      </c>
      <c r="B149" s="11" t="s">
        <v>528</v>
      </c>
      <c r="C149" s="11" t="s">
        <v>355</v>
      </c>
      <c r="D149" s="11"/>
      <c r="E149" s="11" t="s">
        <v>356</v>
      </c>
      <c r="F149" s="11" t="s">
        <v>358</v>
      </c>
      <c r="G149" s="11"/>
      <c r="H149" s="11"/>
      <c r="I149" s="11"/>
      <c r="J149" s="11" t="s">
        <v>343</v>
      </c>
    </row>
    <row r="150" customFormat="false" ht="15" hidden="false" customHeight="true" outlineLevel="0" collapsed="false">
      <c r="A150" s="11" t="s">
        <v>648</v>
      </c>
      <c r="B150" s="11"/>
      <c r="C150" s="11" t="s">
        <v>351</v>
      </c>
      <c r="D150" s="11"/>
      <c r="E150" s="11" t="s">
        <v>356</v>
      </c>
      <c r="F150" s="11" t="s">
        <v>435</v>
      </c>
      <c r="G150" s="11"/>
      <c r="H150" s="11"/>
      <c r="I150" s="11"/>
      <c r="J150" s="11" t="s">
        <v>343</v>
      </c>
    </row>
    <row r="151" customFormat="false" ht="15" hidden="false" customHeight="true" outlineLevel="0" collapsed="false">
      <c r="A151" s="11" t="s">
        <v>649</v>
      </c>
      <c r="B151" s="11" t="s">
        <v>650</v>
      </c>
      <c r="C151" s="11" t="s">
        <v>414</v>
      </c>
      <c r="D151" s="11"/>
      <c r="E151" s="11" t="s">
        <v>356</v>
      </c>
      <c r="F151" s="11"/>
      <c r="G151" s="11"/>
      <c r="H151" s="11"/>
      <c r="I151" s="11"/>
      <c r="J151" s="11" t="s">
        <v>343</v>
      </c>
    </row>
    <row r="152" customFormat="false" ht="15" hidden="false" customHeight="true" outlineLevel="0" collapsed="false">
      <c r="A152" s="11" t="s">
        <v>651</v>
      </c>
      <c r="B152" s="11"/>
      <c r="C152" s="11" t="s">
        <v>346</v>
      </c>
      <c r="D152" s="11" t="s">
        <v>652</v>
      </c>
      <c r="E152" s="11"/>
      <c r="F152" s="11"/>
      <c r="G152" s="11" t="s">
        <v>126</v>
      </c>
      <c r="H152" s="11"/>
      <c r="I152" s="11"/>
      <c r="J152" s="11" t="s">
        <v>343</v>
      </c>
      <c r="O152" s="1" t="n">
        <f aca="false">'Behovsmodell (75p)'!$B$75</f>
        <v>11812.25</v>
      </c>
      <c r="P152" s="1" t="n">
        <f aca="false">('Behovsmodell (75p)'!$B$75)/12</f>
        <v>984.354166666667</v>
      </c>
    </row>
    <row r="153" customFormat="false" ht="15" hidden="false" customHeight="true" outlineLevel="0" collapsed="false">
      <c r="A153" s="11" t="s">
        <v>653</v>
      </c>
      <c r="B153" s="11"/>
      <c r="C153" s="11" t="s">
        <v>346</v>
      </c>
      <c r="D153" s="11" t="s">
        <v>395</v>
      </c>
      <c r="E153" s="11" t="s">
        <v>396</v>
      </c>
      <c r="F153" s="11"/>
      <c r="G153" s="11" t="s">
        <v>129</v>
      </c>
      <c r="H153" s="11"/>
      <c r="I153" s="11"/>
      <c r="J153" s="11" t="s">
        <v>343</v>
      </c>
      <c r="O153" s="1" t="n">
        <f aca="false">'Behovsmodell (75p)'!$B$76</f>
        <v>111099</v>
      </c>
      <c r="P153" s="1" t="n">
        <f aca="false">('Behovsmodell (75p)'!$B$76)/12</f>
        <v>9258.25</v>
      </c>
    </row>
    <row r="154" customFormat="false" ht="15" hidden="false" customHeight="true" outlineLevel="0" collapsed="false">
      <c r="A154" s="11" t="s">
        <v>654</v>
      </c>
      <c r="B154" s="11"/>
      <c r="C154" s="11" t="s">
        <v>245</v>
      </c>
      <c r="D154" s="11"/>
      <c r="E154" s="11" t="s">
        <v>356</v>
      </c>
      <c r="F154" s="11"/>
      <c r="G154" s="11"/>
      <c r="H154" s="11"/>
      <c r="I154" s="11"/>
      <c r="J154" s="11" t="s">
        <v>343</v>
      </c>
    </row>
    <row r="155" customFormat="false" ht="15" hidden="false" customHeight="true" outlineLevel="0" collapsed="false">
      <c r="A155" s="11" t="s">
        <v>655</v>
      </c>
      <c r="B155" s="11"/>
      <c r="C155" s="11" t="s">
        <v>355</v>
      </c>
      <c r="D155" s="11" t="s">
        <v>347</v>
      </c>
      <c r="E155" s="11" t="s">
        <v>356</v>
      </c>
      <c r="F155" s="11" t="s">
        <v>656</v>
      </c>
      <c r="G155" s="11" t="s">
        <v>31</v>
      </c>
      <c r="H155" s="11"/>
      <c r="I155" s="11"/>
      <c r="J155" s="11" t="s">
        <v>343</v>
      </c>
      <c r="O155" s="1" t="n">
        <f aca="false">'Behovsmodell (75p)'!$B$62</f>
        <v>85559</v>
      </c>
      <c r="P155" s="1" t="n">
        <f aca="false">('Behovsmodell (75p)'!$B$62)/12</f>
        <v>7129.91666666667</v>
      </c>
    </row>
    <row r="156" customFormat="false" ht="15" hidden="false" customHeight="true" outlineLevel="0" collapsed="false">
      <c r="A156" s="11" t="s">
        <v>655</v>
      </c>
      <c r="B156" s="11"/>
      <c r="C156" s="11" t="s">
        <v>339</v>
      </c>
      <c r="D156" s="11" t="s">
        <v>347</v>
      </c>
      <c r="E156" s="11" t="s">
        <v>356</v>
      </c>
      <c r="F156" s="11" t="s">
        <v>656</v>
      </c>
      <c r="G156" s="11" t="s">
        <v>31</v>
      </c>
      <c r="H156" s="11"/>
      <c r="I156" s="11"/>
      <c r="J156" s="11" t="s">
        <v>343</v>
      </c>
      <c r="O156" s="1" t="n">
        <f aca="false">'Behovsmodell (75p)'!$B$62</f>
        <v>85559</v>
      </c>
      <c r="P156" s="1" t="n">
        <f aca="false">('Behovsmodell (75p)'!$B$62)/12</f>
        <v>7129.91666666667</v>
      </c>
    </row>
    <row r="157" customFormat="false" ht="15" hidden="false" customHeight="true" outlineLevel="0" collapsed="false">
      <c r="A157" s="11" t="s">
        <v>657</v>
      </c>
      <c r="B157" s="11" t="s">
        <v>449</v>
      </c>
      <c r="C157" s="11" t="s">
        <v>245</v>
      </c>
      <c r="D157" s="11"/>
      <c r="E157" s="11" t="s">
        <v>356</v>
      </c>
      <c r="F157" s="11" t="s">
        <v>362</v>
      </c>
      <c r="G157" s="11"/>
      <c r="H157" s="11"/>
      <c r="I157" s="11"/>
      <c r="J157" s="11" t="s">
        <v>343</v>
      </c>
    </row>
    <row r="158" customFormat="false" ht="15" hidden="false" customHeight="true" outlineLevel="0" collapsed="false">
      <c r="A158" s="11" t="s">
        <v>658</v>
      </c>
      <c r="B158" s="11" t="s">
        <v>597</v>
      </c>
      <c r="C158" s="11" t="s">
        <v>597</v>
      </c>
      <c r="D158" s="11" t="s">
        <v>375</v>
      </c>
      <c r="E158" s="11" t="s">
        <v>356</v>
      </c>
      <c r="F158" s="11" t="s">
        <v>353</v>
      </c>
      <c r="G158" s="11" t="s">
        <v>68</v>
      </c>
      <c r="H158" s="11"/>
      <c r="I158" s="11"/>
      <c r="J158" s="11" t="s">
        <v>343</v>
      </c>
      <c r="O158" s="1" t="n">
        <f aca="false">'Behovsmodell (75p)'!$B$66</f>
        <v>206427.05</v>
      </c>
      <c r="P158" s="1" t="n">
        <f aca="false">('Behovsmodell (75p)'!$B$66)/12</f>
        <v>17202.2541666667</v>
      </c>
    </row>
    <row r="159" customFormat="false" ht="15" hidden="false" customHeight="true" outlineLevel="0" collapsed="false">
      <c r="A159" s="11" t="s">
        <v>659</v>
      </c>
      <c r="B159" s="11" t="s">
        <v>660</v>
      </c>
      <c r="C159" s="11" t="s">
        <v>536</v>
      </c>
      <c r="D159" s="11"/>
      <c r="E159" s="11" t="s">
        <v>356</v>
      </c>
      <c r="F159" s="11" t="s">
        <v>559</v>
      </c>
      <c r="G159" s="11"/>
      <c r="H159" s="11"/>
      <c r="I159" s="11"/>
      <c r="J159" s="11" t="s">
        <v>343</v>
      </c>
    </row>
    <row r="160" customFormat="false" ht="15" hidden="false" customHeight="true" outlineLevel="0" collapsed="false">
      <c r="A160" s="11" t="s">
        <v>661</v>
      </c>
      <c r="B160" s="11"/>
      <c r="C160" s="11" t="s">
        <v>361</v>
      </c>
      <c r="D160" s="11"/>
      <c r="E160" s="11" t="s">
        <v>356</v>
      </c>
      <c r="F160" s="11" t="s">
        <v>475</v>
      </c>
      <c r="G160" s="11"/>
      <c r="H160" s="11"/>
      <c r="I160" s="11"/>
      <c r="J160" s="11" t="s">
        <v>343</v>
      </c>
    </row>
    <row r="161" customFormat="false" ht="15" hidden="false" customHeight="true" outlineLevel="0" collapsed="false">
      <c r="A161" s="11" t="s">
        <v>662</v>
      </c>
      <c r="B161" s="11" t="s">
        <v>663</v>
      </c>
      <c r="C161" s="11" t="s">
        <v>414</v>
      </c>
      <c r="D161" s="11"/>
      <c r="E161" s="11" t="s">
        <v>396</v>
      </c>
      <c r="F161" s="11" t="s">
        <v>362</v>
      </c>
      <c r="G161" s="11"/>
      <c r="H161" s="11"/>
      <c r="I161" s="11"/>
      <c r="J161" s="11" t="s">
        <v>343</v>
      </c>
    </row>
    <row r="162" customFormat="false" ht="15" hidden="false" customHeight="true" outlineLevel="0" collapsed="false">
      <c r="A162" s="11" t="s">
        <v>664</v>
      </c>
      <c r="B162" s="11" t="s">
        <v>350</v>
      </c>
      <c r="C162" s="11" t="s">
        <v>351</v>
      </c>
      <c r="D162" s="11"/>
      <c r="E162" s="11" t="s">
        <v>356</v>
      </c>
      <c r="F162" s="11" t="s">
        <v>362</v>
      </c>
      <c r="G162" s="11"/>
      <c r="H162" s="11"/>
      <c r="I162" s="11"/>
      <c r="J162" s="11" t="s">
        <v>343</v>
      </c>
    </row>
    <row r="163" customFormat="false" ht="15" hidden="false" customHeight="true" outlineLevel="0" collapsed="false">
      <c r="A163" s="11" t="s">
        <v>665</v>
      </c>
      <c r="B163" s="11" t="s">
        <v>666</v>
      </c>
      <c r="C163" s="11" t="s">
        <v>414</v>
      </c>
      <c r="D163" s="11"/>
      <c r="E163" s="11" t="s">
        <v>396</v>
      </c>
      <c r="F163" s="11" t="s">
        <v>362</v>
      </c>
      <c r="G163" s="11"/>
      <c r="H163" s="11"/>
      <c r="I163" s="11"/>
      <c r="J163" s="11" t="s">
        <v>343</v>
      </c>
    </row>
    <row r="164" customFormat="false" ht="15" hidden="false" customHeight="true" outlineLevel="0" collapsed="false">
      <c r="A164" s="11" t="s">
        <v>667</v>
      </c>
      <c r="B164" s="11" t="s">
        <v>668</v>
      </c>
      <c r="C164" s="11" t="s">
        <v>355</v>
      </c>
      <c r="D164" s="11" t="s">
        <v>375</v>
      </c>
      <c r="E164" s="11"/>
      <c r="F164" s="11" t="s">
        <v>669</v>
      </c>
      <c r="G164" s="11" t="s">
        <v>68</v>
      </c>
      <c r="H164" s="11"/>
      <c r="I164" s="11"/>
      <c r="J164" s="11" t="s">
        <v>343</v>
      </c>
      <c r="O164" s="1" t="n">
        <f aca="false">'Behovsmodell (75p)'!$B$66</f>
        <v>206427.05</v>
      </c>
      <c r="P164" s="1" t="n">
        <f aca="false">('Behovsmodell (75p)'!$B$66)/12</f>
        <v>17202.2541666667</v>
      </c>
    </row>
    <row r="165" customFormat="false" ht="15" hidden="false" customHeight="true" outlineLevel="0" collapsed="false">
      <c r="A165" s="11" t="s">
        <v>670</v>
      </c>
      <c r="B165" s="11"/>
      <c r="C165" s="11" t="s">
        <v>457</v>
      </c>
      <c r="D165" s="11" t="s">
        <v>366</v>
      </c>
      <c r="E165" s="11" t="s">
        <v>341</v>
      </c>
      <c r="F165" s="11"/>
      <c r="G165" s="11"/>
      <c r="H165" s="11" t="s">
        <v>366</v>
      </c>
      <c r="I165" s="11"/>
      <c r="J165" s="11" t="s">
        <v>343</v>
      </c>
    </row>
    <row r="166" customFormat="false" ht="15" hidden="false" customHeight="true" outlineLevel="0" collapsed="false">
      <c r="A166" s="11" t="s">
        <v>670</v>
      </c>
      <c r="B166" s="11" t="s">
        <v>671</v>
      </c>
      <c r="C166" s="11" t="s">
        <v>355</v>
      </c>
      <c r="D166" s="11" t="s">
        <v>366</v>
      </c>
      <c r="E166" s="11" t="s">
        <v>341</v>
      </c>
      <c r="F166" s="11"/>
      <c r="G166" s="11"/>
      <c r="H166" s="11" t="s">
        <v>366</v>
      </c>
      <c r="I166" s="11"/>
      <c r="J166" s="11" t="s">
        <v>343</v>
      </c>
    </row>
    <row r="167" customFormat="false" ht="15" hidden="false" customHeight="true" outlineLevel="0" collapsed="false">
      <c r="A167" s="11" t="s">
        <v>672</v>
      </c>
      <c r="B167" s="11" t="s">
        <v>437</v>
      </c>
      <c r="C167" s="11" t="s">
        <v>361</v>
      </c>
      <c r="D167" s="11" t="s">
        <v>340</v>
      </c>
      <c r="E167" s="11" t="s">
        <v>341</v>
      </c>
      <c r="F167" s="11"/>
      <c r="G167" s="11"/>
      <c r="H167" s="11" t="s">
        <v>340</v>
      </c>
      <c r="I167" s="11"/>
      <c r="J167" s="11" t="s">
        <v>343</v>
      </c>
    </row>
    <row r="168" customFormat="false" ht="15" hidden="false" customHeight="true" outlineLevel="0" collapsed="false">
      <c r="A168" s="11" t="s">
        <v>673</v>
      </c>
      <c r="B168" s="11" t="s">
        <v>481</v>
      </c>
      <c r="C168" s="11" t="s">
        <v>457</v>
      </c>
      <c r="D168" s="11" t="s">
        <v>340</v>
      </c>
      <c r="E168" s="11" t="s">
        <v>341</v>
      </c>
      <c r="F168" s="11" t="s">
        <v>674</v>
      </c>
      <c r="G168" s="11"/>
      <c r="H168" s="11" t="s">
        <v>340</v>
      </c>
      <c r="I168" s="11"/>
      <c r="J168" s="11" t="s">
        <v>343</v>
      </c>
    </row>
    <row r="169" customFormat="false" ht="15" hidden="false" customHeight="true" outlineLevel="0" collapsed="false">
      <c r="A169" s="11" t="s">
        <v>675</v>
      </c>
      <c r="B169" s="11"/>
      <c r="C169" s="11" t="s">
        <v>355</v>
      </c>
      <c r="D169" s="11" t="s">
        <v>340</v>
      </c>
      <c r="E169" s="11" t="s">
        <v>341</v>
      </c>
      <c r="F169" s="11"/>
      <c r="G169" s="11"/>
      <c r="H169" s="11" t="s">
        <v>340</v>
      </c>
      <c r="I169" s="11"/>
      <c r="J169" s="11" t="s">
        <v>343</v>
      </c>
    </row>
    <row r="170" customFormat="false" ht="15" hidden="false" customHeight="true" outlineLevel="0" collapsed="false">
      <c r="A170" s="11" t="s">
        <v>676</v>
      </c>
      <c r="B170" s="11"/>
      <c r="C170" s="11" t="s">
        <v>339</v>
      </c>
      <c r="D170" s="11" t="s">
        <v>347</v>
      </c>
      <c r="E170" s="11" t="s">
        <v>396</v>
      </c>
      <c r="F170" s="11" t="s">
        <v>358</v>
      </c>
      <c r="G170" s="11" t="s">
        <v>31</v>
      </c>
      <c r="H170" s="11"/>
      <c r="I170" s="11"/>
      <c r="J170" s="11" t="s">
        <v>343</v>
      </c>
      <c r="O170" s="1" t="n">
        <f aca="false">'Behovsmodell (75p)'!$B$62</f>
        <v>85559</v>
      </c>
      <c r="P170" s="1" t="n">
        <f aca="false">('Behovsmodell (75p)'!$B$62)/12</f>
        <v>7129.91666666667</v>
      </c>
    </row>
    <row r="171" customFormat="false" ht="15" hidden="false" customHeight="true" outlineLevel="0" collapsed="false">
      <c r="A171" s="11" t="s">
        <v>677</v>
      </c>
      <c r="B171" s="11"/>
      <c r="C171" s="11" t="s">
        <v>355</v>
      </c>
      <c r="D171" s="11" t="s">
        <v>347</v>
      </c>
      <c r="E171" s="11"/>
      <c r="F171" s="11" t="s">
        <v>358</v>
      </c>
      <c r="G171" s="11" t="s">
        <v>31</v>
      </c>
      <c r="H171" s="11"/>
      <c r="I171" s="11"/>
      <c r="J171" s="11" t="s">
        <v>343</v>
      </c>
      <c r="O171" s="1" t="n">
        <f aca="false">'Behovsmodell (75p)'!$B$62</f>
        <v>85559</v>
      </c>
      <c r="P171" s="1" t="n">
        <f aca="false">('Behovsmodell (75p)'!$B$62)/12</f>
        <v>7129.91666666667</v>
      </c>
    </row>
    <row r="172" customFormat="false" ht="15" hidden="false" customHeight="true" outlineLevel="0" collapsed="false">
      <c r="A172" s="11" t="s">
        <v>678</v>
      </c>
      <c r="B172" s="11" t="s">
        <v>536</v>
      </c>
      <c r="C172" s="11" t="s">
        <v>536</v>
      </c>
      <c r="D172" s="11" t="s">
        <v>347</v>
      </c>
      <c r="E172" s="11"/>
      <c r="F172" s="11"/>
      <c r="G172" s="11" t="s">
        <v>31</v>
      </c>
      <c r="H172" s="11"/>
      <c r="I172" s="11"/>
      <c r="J172" s="11" t="s">
        <v>343</v>
      </c>
      <c r="O172" s="1" t="n">
        <f aca="false">'Behovsmodell (75p)'!$B$62</f>
        <v>85559</v>
      </c>
      <c r="P172" s="1" t="n">
        <f aca="false">('Behovsmodell (75p)'!$B$62)/12</f>
        <v>7129.91666666667</v>
      </c>
    </row>
    <row r="173" customFormat="false" ht="15" hidden="false" customHeight="true" outlineLevel="0" collapsed="false">
      <c r="A173" s="11" t="s">
        <v>679</v>
      </c>
      <c r="B173" s="11" t="s">
        <v>680</v>
      </c>
      <c r="C173" s="11" t="s">
        <v>339</v>
      </c>
      <c r="D173" s="11"/>
      <c r="E173" s="11" t="s">
        <v>356</v>
      </c>
      <c r="F173" s="11" t="s">
        <v>681</v>
      </c>
      <c r="G173" s="11"/>
      <c r="H173" s="11"/>
      <c r="I173" s="11"/>
      <c r="J173" s="11" t="s">
        <v>343</v>
      </c>
    </row>
    <row r="174" customFormat="false" ht="15" hidden="false" customHeight="true" outlineLevel="0" collapsed="false">
      <c r="A174" s="11" t="s">
        <v>682</v>
      </c>
      <c r="B174" s="11" t="s">
        <v>680</v>
      </c>
      <c r="C174" s="11" t="s">
        <v>339</v>
      </c>
      <c r="D174" s="11" t="s">
        <v>352</v>
      </c>
      <c r="E174" s="11"/>
      <c r="F174" s="11" t="s">
        <v>548</v>
      </c>
      <c r="G174" s="11" t="s">
        <v>84</v>
      </c>
      <c r="H174" s="11"/>
      <c r="I174" s="11"/>
      <c r="J174" s="11" t="s">
        <v>343</v>
      </c>
      <c r="K174" s="1" t="s">
        <v>683</v>
      </c>
      <c r="L174" s="1" t="s">
        <v>684</v>
      </c>
      <c r="M174" s="1" t="s">
        <v>685</v>
      </c>
      <c r="N174" s="1" t="s">
        <v>686</v>
      </c>
      <c r="O174" s="1" t="n">
        <f aca="false">'Behovsmodell (75p)'!$B$68</f>
        <v>330040.65</v>
      </c>
      <c r="P174" s="1" t="n">
        <f aca="false">('Behovsmodell (75p)'!$B$68)/12</f>
        <v>27503.3875</v>
      </c>
    </row>
    <row r="175" customFormat="false" ht="15" hidden="false" customHeight="true" outlineLevel="0" collapsed="false">
      <c r="A175" s="11" t="s">
        <v>687</v>
      </c>
      <c r="B175" s="11"/>
      <c r="C175" s="11" t="s">
        <v>339</v>
      </c>
      <c r="D175" s="11"/>
      <c r="E175" s="11" t="s">
        <v>396</v>
      </c>
      <c r="F175" s="11" t="s">
        <v>358</v>
      </c>
      <c r="G175" s="11"/>
      <c r="H175" s="11"/>
      <c r="I175" s="11"/>
      <c r="J175" s="11" t="s">
        <v>343</v>
      </c>
    </row>
    <row r="176" customFormat="false" ht="15" hidden="false" customHeight="true" outlineLevel="0" collapsed="false">
      <c r="A176" s="11" t="s">
        <v>688</v>
      </c>
      <c r="B176" s="11" t="s">
        <v>403</v>
      </c>
      <c r="C176" s="11" t="s">
        <v>403</v>
      </c>
      <c r="D176" s="11" t="s">
        <v>395</v>
      </c>
      <c r="E176" s="11" t="s">
        <v>396</v>
      </c>
      <c r="F176" s="11" t="s">
        <v>689</v>
      </c>
      <c r="G176" s="11" t="s">
        <v>129</v>
      </c>
      <c r="H176" s="11"/>
      <c r="I176" s="11"/>
      <c r="J176" s="11" t="s">
        <v>343</v>
      </c>
      <c r="O176" s="1" t="n">
        <f aca="false">'Behovsmodell (75p)'!$B$76</f>
        <v>111099</v>
      </c>
      <c r="P176" s="1" t="n">
        <f aca="false">('Behovsmodell (75p)'!$B$76)/12</f>
        <v>9258.25</v>
      </c>
    </row>
    <row r="177" customFormat="false" ht="15" hidden="false" customHeight="true" outlineLevel="0" collapsed="false">
      <c r="A177" s="11" t="s">
        <v>690</v>
      </c>
      <c r="B177" s="11"/>
      <c r="C177" s="11" t="s">
        <v>355</v>
      </c>
      <c r="D177" s="11" t="s">
        <v>347</v>
      </c>
      <c r="E177" s="11" t="s">
        <v>356</v>
      </c>
      <c r="F177" s="11" t="s">
        <v>358</v>
      </c>
      <c r="G177" s="11" t="s">
        <v>31</v>
      </c>
      <c r="H177" s="11"/>
      <c r="I177" s="11"/>
      <c r="J177" s="11" t="s">
        <v>343</v>
      </c>
      <c r="O177" s="1" t="n">
        <f aca="false">'Behovsmodell (75p)'!$B$62</f>
        <v>85559</v>
      </c>
      <c r="P177" s="1" t="n">
        <f aca="false">('Behovsmodell (75p)'!$B$62)/12</f>
        <v>7129.91666666667</v>
      </c>
    </row>
    <row r="178" customFormat="false" ht="15" hidden="false" customHeight="true" outlineLevel="0" collapsed="false">
      <c r="A178" s="11" t="s">
        <v>691</v>
      </c>
      <c r="B178" s="11" t="s">
        <v>692</v>
      </c>
      <c r="C178" s="11" t="s">
        <v>355</v>
      </c>
      <c r="D178" s="11" t="s">
        <v>347</v>
      </c>
      <c r="E178" s="11" t="s">
        <v>356</v>
      </c>
      <c r="F178" s="11"/>
      <c r="G178" s="11" t="s">
        <v>31</v>
      </c>
      <c r="H178" s="11"/>
      <c r="I178" s="11"/>
      <c r="J178" s="11" t="s">
        <v>343</v>
      </c>
      <c r="O178" s="1" t="n">
        <f aca="false">'Behovsmodell (75p)'!$B$62</f>
        <v>85559</v>
      </c>
      <c r="P178" s="1" t="n">
        <f aca="false">('Behovsmodell (75p)'!$B$62)/12</f>
        <v>7129.91666666667</v>
      </c>
    </row>
    <row r="179" customFormat="false" ht="15" hidden="false" customHeight="true" outlineLevel="0" collapsed="false">
      <c r="A179" s="11" t="s">
        <v>693</v>
      </c>
      <c r="B179" s="11"/>
      <c r="C179" s="11" t="s">
        <v>355</v>
      </c>
      <c r="D179" s="11" t="s">
        <v>366</v>
      </c>
      <c r="E179" s="11" t="s">
        <v>341</v>
      </c>
      <c r="F179" s="11"/>
      <c r="G179" s="11"/>
      <c r="H179" s="11" t="s">
        <v>366</v>
      </c>
      <c r="I179" s="11"/>
      <c r="J179" s="11" t="s">
        <v>343</v>
      </c>
    </row>
    <row r="180" customFormat="false" ht="15" hidden="false" customHeight="true" outlineLevel="0" collapsed="false">
      <c r="A180" s="11" t="s">
        <v>693</v>
      </c>
      <c r="B180" s="11"/>
      <c r="C180" s="11" t="s">
        <v>339</v>
      </c>
      <c r="D180" s="11" t="s">
        <v>366</v>
      </c>
      <c r="E180" s="11" t="s">
        <v>341</v>
      </c>
      <c r="F180" s="11"/>
      <c r="G180" s="11"/>
      <c r="H180" s="11" t="s">
        <v>366</v>
      </c>
      <c r="I180" s="11"/>
      <c r="J180" s="11" t="s">
        <v>343</v>
      </c>
    </row>
    <row r="181" customFormat="false" ht="15" hidden="false" customHeight="true" outlineLevel="0" collapsed="false">
      <c r="A181" s="11" t="s">
        <v>694</v>
      </c>
      <c r="B181" s="11" t="s">
        <v>695</v>
      </c>
      <c r="C181" s="11" t="s">
        <v>351</v>
      </c>
      <c r="D181" s="11"/>
      <c r="E181" s="11" t="s">
        <v>356</v>
      </c>
      <c r="F181" s="11" t="s">
        <v>539</v>
      </c>
      <c r="G181" s="11"/>
      <c r="H181" s="11"/>
      <c r="I181" s="11"/>
      <c r="J181" s="11" t="s">
        <v>343</v>
      </c>
    </row>
    <row r="182" customFormat="false" ht="15" hidden="false" customHeight="true" outlineLevel="0" collapsed="false">
      <c r="A182" s="11" t="s">
        <v>696</v>
      </c>
      <c r="B182" s="11"/>
      <c r="C182" s="11" t="s">
        <v>339</v>
      </c>
      <c r="D182" s="11"/>
      <c r="E182" s="11" t="s">
        <v>356</v>
      </c>
      <c r="F182" s="11" t="s">
        <v>697</v>
      </c>
      <c r="G182" s="11"/>
      <c r="H182" s="11"/>
      <c r="I182" s="11"/>
      <c r="J182" s="11" t="s">
        <v>343</v>
      </c>
    </row>
    <row r="183" customFormat="false" ht="15" hidden="false" customHeight="true" outlineLevel="0" collapsed="false">
      <c r="A183" s="11" t="s">
        <v>698</v>
      </c>
      <c r="B183" s="11"/>
      <c r="C183" s="11" t="s">
        <v>597</v>
      </c>
      <c r="D183" s="11"/>
      <c r="E183" s="11" t="s">
        <v>356</v>
      </c>
      <c r="F183" s="11"/>
      <c r="G183" s="11"/>
      <c r="H183" s="11"/>
      <c r="I183" s="11"/>
      <c r="J183" s="11" t="s">
        <v>343</v>
      </c>
      <c r="N183" s="1" t="s">
        <v>699</v>
      </c>
    </row>
    <row r="184" customFormat="false" ht="15" hidden="false" customHeight="true" outlineLevel="0" collapsed="false">
      <c r="A184" s="11" t="s">
        <v>700</v>
      </c>
      <c r="B184" s="11" t="s">
        <v>500</v>
      </c>
      <c r="C184" s="11" t="s">
        <v>355</v>
      </c>
      <c r="D184" s="11"/>
      <c r="E184" s="11"/>
      <c r="F184" s="11" t="s">
        <v>362</v>
      </c>
      <c r="G184" s="11"/>
      <c r="H184" s="11"/>
      <c r="I184" s="11"/>
      <c r="J184" s="11" t="s">
        <v>343</v>
      </c>
    </row>
    <row r="185" customFormat="false" ht="15" hidden="false" customHeight="true" outlineLevel="0" collapsed="false">
      <c r="A185" s="11" t="s">
        <v>701</v>
      </c>
      <c r="B185" s="11"/>
      <c r="C185" s="11" t="s">
        <v>346</v>
      </c>
      <c r="D185" s="11"/>
      <c r="E185" s="11" t="s">
        <v>356</v>
      </c>
      <c r="F185" s="11" t="s">
        <v>702</v>
      </c>
      <c r="G185" s="11"/>
      <c r="H185" s="11"/>
      <c r="I185" s="11"/>
      <c r="J185" s="11" t="s">
        <v>343</v>
      </c>
      <c r="K185" s="1" t="s">
        <v>703</v>
      </c>
      <c r="N185" s="1" t="s">
        <v>704</v>
      </c>
    </row>
    <row r="186" customFormat="false" ht="15" hidden="false" customHeight="true" outlineLevel="0" collapsed="false">
      <c r="A186" s="11" t="s">
        <v>705</v>
      </c>
      <c r="B186" s="11"/>
      <c r="C186" s="11" t="s">
        <v>597</v>
      </c>
      <c r="D186" s="11"/>
      <c r="E186" s="11" t="s">
        <v>356</v>
      </c>
      <c r="F186" s="11"/>
      <c r="G186" s="11"/>
      <c r="H186" s="11"/>
      <c r="I186" s="11"/>
      <c r="J186" s="11" t="s">
        <v>343</v>
      </c>
    </row>
    <row r="187" customFormat="false" ht="15" hidden="false" customHeight="true" outlineLevel="0" collapsed="false">
      <c r="A187" s="11" t="s">
        <v>706</v>
      </c>
      <c r="B187" s="11"/>
      <c r="C187" s="11" t="s">
        <v>346</v>
      </c>
      <c r="D187" s="11" t="s">
        <v>352</v>
      </c>
      <c r="E187" s="11" t="s">
        <v>356</v>
      </c>
      <c r="F187" s="11" t="s">
        <v>358</v>
      </c>
      <c r="G187" s="11" t="s">
        <v>84</v>
      </c>
      <c r="H187" s="11"/>
      <c r="I187" s="11"/>
      <c r="J187" s="11" t="s">
        <v>343</v>
      </c>
      <c r="K187" s="1" t="s">
        <v>707</v>
      </c>
      <c r="L187" s="1" t="s">
        <v>708</v>
      </c>
      <c r="M187" s="1" t="s">
        <v>709</v>
      </c>
      <c r="N187" s="1" t="s">
        <v>710</v>
      </c>
      <c r="O187" s="1" t="n">
        <f aca="false">'Behovsmodell (75p)'!$B$68</f>
        <v>330040.65</v>
      </c>
      <c r="P187" s="1" t="n">
        <f aca="false">('Behovsmodell (75p)'!$B$68)/12</f>
        <v>27503.3875</v>
      </c>
    </row>
    <row r="188" customFormat="false" ht="15" hidden="false" customHeight="true" outlineLevel="0" collapsed="false">
      <c r="A188" s="11" t="s">
        <v>706</v>
      </c>
      <c r="B188" s="11" t="s">
        <v>711</v>
      </c>
      <c r="C188" s="11" t="s">
        <v>355</v>
      </c>
      <c r="D188" s="11" t="s">
        <v>352</v>
      </c>
      <c r="E188" s="11" t="s">
        <v>356</v>
      </c>
      <c r="F188" s="11" t="s">
        <v>358</v>
      </c>
      <c r="G188" s="11" t="s">
        <v>84</v>
      </c>
      <c r="H188" s="11"/>
      <c r="I188" s="11"/>
      <c r="J188" s="11" t="s">
        <v>343</v>
      </c>
      <c r="K188" s="1" t="s">
        <v>707</v>
      </c>
      <c r="L188" s="1" t="s">
        <v>708</v>
      </c>
      <c r="M188" s="1" t="s">
        <v>709</v>
      </c>
      <c r="N188" s="1" t="s">
        <v>710</v>
      </c>
      <c r="O188" s="1" t="n">
        <f aca="false">'Behovsmodell (75p)'!$B$68</f>
        <v>330040.65</v>
      </c>
      <c r="P188" s="1" t="n">
        <f aca="false">('Behovsmodell (75p)'!$B$68)/12</f>
        <v>27503.3875</v>
      </c>
    </row>
    <row r="189" customFormat="false" ht="15" hidden="false" customHeight="true" outlineLevel="0" collapsed="false">
      <c r="A189" s="11" t="s">
        <v>712</v>
      </c>
      <c r="B189" s="11" t="s">
        <v>660</v>
      </c>
      <c r="C189" s="11" t="s">
        <v>536</v>
      </c>
      <c r="D189" s="11" t="s">
        <v>366</v>
      </c>
      <c r="E189" s="11" t="s">
        <v>341</v>
      </c>
      <c r="F189" s="11" t="s">
        <v>548</v>
      </c>
      <c r="G189" s="11"/>
      <c r="H189" s="11" t="s">
        <v>366</v>
      </c>
      <c r="I189" s="11"/>
      <c r="J189" s="11" t="s">
        <v>343</v>
      </c>
    </row>
    <row r="190" customFormat="false" ht="15" hidden="false" customHeight="true" outlineLevel="0" collapsed="false">
      <c r="A190" s="11" t="s">
        <v>713</v>
      </c>
      <c r="B190" s="11"/>
      <c r="C190" s="11" t="s">
        <v>339</v>
      </c>
      <c r="D190" s="11"/>
      <c r="E190" s="11" t="s">
        <v>356</v>
      </c>
      <c r="F190" s="11" t="s">
        <v>358</v>
      </c>
      <c r="G190" s="11"/>
      <c r="H190" s="11"/>
      <c r="I190" s="11"/>
      <c r="J190" s="11" t="s">
        <v>343</v>
      </c>
    </row>
    <row r="191" customFormat="false" ht="15" hidden="false" customHeight="true" outlineLevel="0" collapsed="false">
      <c r="A191" s="11" t="s">
        <v>714</v>
      </c>
      <c r="B191" s="11"/>
      <c r="C191" s="11" t="s">
        <v>245</v>
      </c>
      <c r="D191" s="11"/>
      <c r="E191" s="11" t="s">
        <v>356</v>
      </c>
      <c r="F191" s="11" t="s">
        <v>559</v>
      </c>
      <c r="G191" s="11"/>
      <c r="H191" s="11"/>
      <c r="I191" s="11"/>
      <c r="J191" s="11" t="s">
        <v>343</v>
      </c>
      <c r="K191" s="1" t="s">
        <v>715</v>
      </c>
      <c r="N191" s="1" t="s">
        <v>716</v>
      </c>
    </row>
    <row r="192" customFormat="false" ht="15" hidden="false" customHeight="true" outlineLevel="0" collapsed="false">
      <c r="A192" s="11" t="s">
        <v>717</v>
      </c>
      <c r="B192" s="11" t="s">
        <v>388</v>
      </c>
      <c r="C192" s="11" t="s">
        <v>388</v>
      </c>
      <c r="D192" s="11"/>
      <c r="E192" s="11" t="s">
        <v>356</v>
      </c>
      <c r="F192" s="11" t="s">
        <v>358</v>
      </c>
      <c r="G192" s="11"/>
      <c r="H192" s="11"/>
      <c r="I192" s="11"/>
      <c r="J192" s="11" t="s">
        <v>343</v>
      </c>
      <c r="K192" s="1" t="s">
        <v>718</v>
      </c>
      <c r="N192" s="1" t="s">
        <v>719</v>
      </c>
    </row>
    <row r="193" customFormat="false" ht="15" hidden="false" customHeight="true" outlineLevel="0" collapsed="false">
      <c r="A193" s="11" t="s">
        <v>720</v>
      </c>
      <c r="B193" s="11" t="s">
        <v>408</v>
      </c>
      <c r="C193" s="11" t="s">
        <v>355</v>
      </c>
      <c r="D193" s="11"/>
      <c r="E193" s="11" t="s">
        <v>356</v>
      </c>
      <c r="F193" s="11"/>
      <c r="G193" s="11"/>
      <c r="H193" s="11"/>
      <c r="I193" s="11"/>
      <c r="J193" s="11" t="s">
        <v>343</v>
      </c>
    </row>
    <row r="194" customFormat="false" ht="15" hidden="false" customHeight="true" outlineLevel="0" collapsed="false">
      <c r="A194" s="11" t="s">
        <v>721</v>
      </c>
      <c r="B194" s="11" t="s">
        <v>368</v>
      </c>
      <c r="C194" s="11" t="s">
        <v>361</v>
      </c>
      <c r="D194" s="11" t="s">
        <v>366</v>
      </c>
      <c r="E194" s="11" t="s">
        <v>341</v>
      </c>
      <c r="F194" s="11"/>
      <c r="G194" s="11"/>
      <c r="H194" s="11" t="s">
        <v>366</v>
      </c>
      <c r="I194" s="11"/>
      <c r="J194" s="11" t="s">
        <v>343</v>
      </c>
    </row>
    <row r="195" customFormat="false" ht="15" hidden="false" customHeight="true" outlineLevel="0" collapsed="false">
      <c r="A195" s="11" t="s">
        <v>722</v>
      </c>
      <c r="B195" s="11" t="s">
        <v>514</v>
      </c>
      <c r="C195" s="11" t="s">
        <v>414</v>
      </c>
      <c r="D195" s="11" t="s">
        <v>347</v>
      </c>
      <c r="E195" s="11" t="s">
        <v>356</v>
      </c>
      <c r="F195" s="11" t="s">
        <v>656</v>
      </c>
      <c r="G195" s="11" t="s">
        <v>31</v>
      </c>
      <c r="H195" s="11"/>
      <c r="I195" s="11"/>
      <c r="J195" s="11" t="s">
        <v>343</v>
      </c>
      <c r="O195" s="1" t="n">
        <f aca="false">'Behovsmodell (75p)'!$B$62</f>
        <v>85559</v>
      </c>
      <c r="P195" s="1" t="n">
        <f aca="false">('Behovsmodell (75p)'!$B$62)/12</f>
        <v>7129.91666666667</v>
      </c>
    </row>
    <row r="196" customFormat="false" ht="15" hidden="false" customHeight="true" outlineLevel="0" collapsed="false">
      <c r="A196" s="11" t="s">
        <v>723</v>
      </c>
      <c r="B196" s="11" t="s">
        <v>528</v>
      </c>
      <c r="C196" s="11" t="s">
        <v>355</v>
      </c>
      <c r="D196" s="11"/>
      <c r="E196" s="11" t="s">
        <v>356</v>
      </c>
      <c r="F196" s="11" t="s">
        <v>724</v>
      </c>
      <c r="G196" s="11"/>
      <c r="H196" s="11"/>
      <c r="I196" s="11"/>
      <c r="J196" s="11" t="s">
        <v>343</v>
      </c>
    </row>
    <row r="197" customFormat="false" ht="15" hidden="false" customHeight="true" outlineLevel="0" collapsed="false">
      <c r="A197" s="11" t="s">
        <v>725</v>
      </c>
      <c r="B197" s="11"/>
      <c r="C197" s="11" t="s">
        <v>355</v>
      </c>
      <c r="D197" s="11" t="s">
        <v>366</v>
      </c>
      <c r="E197" s="11" t="s">
        <v>341</v>
      </c>
      <c r="F197" s="11"/>
      <c r="G197" s="11"/>
      <c r="H197" s="11" t="s">
        <v>366</v>
      </c>
      <c r="I197" s="11"/>
      <c r="J197" s="11" t="s">
        <v>343</v>
      </c>
    </row>
    <row r="198" customFormat="false" ht="15" hidden="false" customHeight="true" outlineLevel="0" collapsed="false">
      <c r="A198" s="11" t="s">
        <v>726</v>
      </c>
      <c r="B198" s="11"/>
      <c r="C198" s="11" t="s">
        <v>346</v>
      </c>
      <c r="D198" s="11"/>
      <c r="E198" s="11" t="s">
        <v>356</v>
      </c>
      <c r="F198" s="11" t="s">
        <v>358</v>
      </c>
      <c r="G198" s="11"/>
      <c r="H198" s="11"/>
      <c r="I198" s="11"/>
      <c r="J198" s="11" t="s">
        <v>343</v>
      </c>
    </row>
    <row r="199" customFormat="false" ht="15" hidden="false" customHeight="true" outlineLevel="0" collapsed="false">
      <c r="A199" s="11" t="s">
        <v>727</v>
      </c>
      <c r="B199" s="11"/>
      <c r="C199" s="11" t="s">
        <v>351</v>
      </c>
      <c r="D199" s="11"/>
      <c r="E199" s="11" t="s">
        <v>356</v>
      </c>
      <c r="F199" s="11" t="s">
        <v>516</v>
      </c>
      <c r="G199" s="11"/>
      <c r="H199" s="11"/>
      <c r="I199" s="11"/>
      <c r="J199" s="11" t="s">
        <v>343</v>
      </c>
      <c r="K199" s="1" t="s">
        <v>728</v>
      </c>
      <c r="L199" s="1" t="s">
        <v>729</v>
      </c>
      <c r="M199" s="1" t="s">
        <v>730</v>
      </c>
      <c r="N199" s="1" t="s">
        <v>731</v>
      </c>
    </row>
    <row r="200" customFormat="false" ht="15" hidden="false" customHeight="true" outlineLevel="0" collapsed="false">
      <c r="A200" s="11" t="s">
        <v>732</v>
      </c>
      <c r="B200" s="11"/>
      <c r="C200" s="11" t="s">
        <v>245</v>
      </c>
      <c r="D200" s="11"/>
      <c r="E200" s="11" t="s">
        <v>356</v>
      </c>
      <c r="F200" s="11" t="s">
        <v>702</v>
      </c>
      <c r="G200" s="11"/>
      <c r="H200" s="11"/>
      <c r="I200" s="11"/>
      <c r="J200" s="11" t="s">
        <v>343</v>
      </c>
    </row>
    <row r="201" customFormat="false" ht="15" hidden="false" customHeight="true" outlineLevel="0" collapsed="false">
      <c r="A201" s="11" t="s">
        <v>733</v>
      </c>
      <c r="B201" s="11"/>
      <c r="C201" s="11" t="s">
        <v>339</v>
      </c>
      <c r="D201" s="11" t="s">
        <v>347</v>
      </c>
      <c r="E201" s="11"/>
      <c r="F201" s="11" t="s">
        <v>416</v>
      </c>
      <c r="G201" s="11" t="s">
        <v>31</v>
      </c>
      <c r="H201" s="11"/>
      <c r="I201" s="11"/>
      <c r="J201" s="11" t="s">
        <v>343</v>
      </c>
      <c r="O201" s="1" t="n">
        <f aca="false">'Behovsmodell (75p)'!$B$62</f>
        <v>85559</v>
      </c>
      <c r="P201" s="1" t="n">
        <f aca="false">('Behovsmodell (75p)'!$B$62)/12</f>
        <v>7129.91666666667</v>
      </c>
    </row>
    <row r="202" customFormat="false" ht="15" hidden="false" customHeight="true" outlineLevel="0" collapsed="false">
      <c r="A202" s="11" t="s">
        <v>734</v>
      </c>
      <c r="B202" s="11"/>
      <c r="C202" s="11" t="s">
        <v>361</v>
      </c>
      <c r="D202" s="11"/>
      <c r="E202" s="11" t="s">
        <v>356</v>
      </c>
      <c r="F202" s="11" t="s">
        <v>358</v>
      </c>
      <c r="G202" s="11"/>
      <c r="H202" s="11"/>
      <c r="I202" s="11"/>
      <c r="J202" s="11" t="s">
        <v>343</v>
      </c>
    </row>
    <row r="203" customFormat="false" ht="15" hidden="false" customHeight="true" outlineLevel="0" collapsed="false">
      <c r="A203" s="11" t="s">
        <v>735</v>
      </c>
      <c r="B203" s="11"/>
      <c r="C203" s="11" t="s">
        <v>457</v>
      </c>
      <c r="D203" s="11" t="s">
        <v>347</v>
      </c>
      <c r="E203" s="11" t="s">
        <v>396</v>
      </c>
      <c r="F203" s="11" t="s">
        <v>358</v>
      </c>
      <c r="G203" s="11" t="s">
        <v>31</v>
      </c>
      <c r="H203" s="11"/>
      <c r="I203" s="11"/>
      <c r="J203" s="11" t="s">
        <v>343</v>
      </c>
      <c r="O203" s="1" t="n">
        <f aca="false">'Behovsmodell (75p)'!$B$62</f>
        <v>85559</v>
      </c>
      <c r="P203" s="1" t="n">
        <f aca="false">('Behovsmodell (75p)'!$B$62)/12</f>
        <v>7129.91666666667</v>
      </c>
    </row>
    <row r="204" customFormat="false" ht="15" hidden="false" customHeight="true" outlineLevel="0" collapsed="false">
      <c r="A204" s="11" t="s">
        <v>736</v>
      </c>
      <c r="B204" s="11"/>
      <c r="C204" s="11" t="s">
        <v>351</v>
      </c>
      <c r="D204" s="11" t="s">
        <v>347</v>
      </c>
      <c r="E204" s="11" t="s">
        <v>356</v>
      </c>
      <c r="F204" s="11" t="s">
        <v>737</v>
      </c>
      <c r="G204" s="11" t="s">
        <v>31</v>
      </c>
      <c r="H204" s="11"/>
      <c r="I204" s="11"/>
      <c r="J204" s="11" t="s">
        <v>343</v>
      </c>
      <c r="O204" s="1" t="n">
        <f aca="false">'Behovsmodell (75p)'!$B$62</f>
        <v>85559</v>
      </c>
      <c r="P204" s="1" t="n">
        <f aca="false">('Behovsmodell (75p)'!$B$62)/12</f>
        <v>7129.91666666667</v>
      </c>
    </row>
    <row r="205" customFormat="false" ht="15" hidden="false" customHeight="true" outlineLevel="0" collapsed="false">
      <c r="A205" s="11" t="s">
        <v>738</v>
      </c>
      <c r="B205" s="11"/>
      <c r="C205" s="11" t="s">
        <v>355</v>
      </c>
      <c r="D205" s="11" t="s">
        <v>347</v>
      </c>
      <c r="E205" s="11" t="s">
        <v>356</v>
      </c>
      <c r="F205" s="11"/>
      <c r="G205" s="11" t="s">
        <v>31</v>
      </c>
      <c r="H205" s="11"/>
      <c r="I205" s="11"/>
      <c r="J205" s="11" t="s">
        <v>343</v>
      </c>
      <c r="O205" s="1" t="n">
        <f aca="false">'Behovsmodell (75p)'!$B$62</f>
        <v>85559</v>
      </c>
      <c r="P205" s="1" t="n">
        <f aca="false">('Behovsmodell (75p)'!$B$62)/12</f>
        <v>7129.91666666667</v>
      </c>
    </row>
    <row r="206" customFormat="false" ht="15" hidden="false" customHeight="true" outlineLevel="0" collapsed="false">
      <c r="A206" s="11" t="s">
        <v>739</v>
      </c>
      <c r="B206" s="11" t="s">
        <v>597</v>
      </c>
      <c r="C206" s="11" t="s">
        <v>597</v>
      </c>
      <c r="D206" s="11" t="s">
        <v>375</v>
      </c>
      <c r="E206" s="11" t="s">
        <v>356</v>
      </c>
      <c r="F206" s="11" t="s">
        <v>656</v>
      </c>
      <c r="G206" s="11" t="s">
        <v>68</v>
      </c>
      <c r="H206" s="11"/>
      <c r="I206" s="11"/>
      <c r="J206" s="11" t="s">
        <v>343</v>
      </c>
      <c r="O206" s="1" t="n">
        <f aca="false">'Behovsmodell (75p)'!$B$66</f>
        <v>206427.05</v>
      </c>
      <c r="P206" s="1" t="n">
        <f aca="false">('Behovsmodell (75p)'!$B$66)/12</f>
        <v>17202.2541666667</v>
      </c>
    </row>
    <row r="207" customFormat="false" ht="15" hidden="false" customHeight="true" outlineLevel="0" collapsed="false">
      <c r="A207" s="11" t="s">
        <v>740</v>
      </c>
      <c r="B207" s="11"/>
      <c r="C207" s="11" t="s">
        <v>339</v>
      </c>
      <c r="D207" s="11" t="s">
        <v>340</v>
      </c>
      <c r="E207" s="11" t="s">
        <v>341</v>
      </c>
      <c r="F207" s="11"/>
      <c r="G207" s="11"/>
      <c r="H207" s="11" t="s">
        <v>340</v>
      </c>
      <c r="I207" s="11"/>
      <c r="J207" s="11" t="s">
        <v>343</v>
      </c>
    </row>
    <row r="208" customFormat="false" ht="15" hidden="false" customHeight="true" outlineLevel="0" collapsed="false">
      <c r="A208" s="11" t="s">
        <v>741</v>
      </c>
      <c r="B208" s="11" t="s">
        <v>742</v>
      </c>
      <c r="C208" s="11" t="s">
        <v>339</v>
      </c>
      <c r="D208" s="11"/>
      <c r="E208" s="11" t="s">
        <v>356</v>
      </c>
      <c r="F208" s="11" t="s">
        <v>358</v>
      </c>
      <c r="G208" s="11"/>
      <c r="H208" s="11"/>
      <c r="I208" s="11"/>
      <c r="J208" s="11" t="s">
        <v>343</v>
      </c>
    </row>
    <row r="209" customFormat="false" ht="15" hidden="false" customHeight="true" outlineLevel="0" collapsed="false">
      <c r="A209" s="11" t="s">
        <v>743</v>
      </c>
      <c r="B209" s="11" t="s">
        <v>744</v>
      </c>
      <c r="C209" s="11" t="s">
        <v>355</v>
      </c>
      <c r="D209" s="11" t="s">
        <v>633</v>
      </c>
      <c r="E209" s="11" t="s">
        <v>356</v>
      </c>
      <c r="F209" s="11" t="s">
        <v>353</v>
      </c>
      <c r="G209" s="11" t="s">
        <v>634</v>
      </c>
      <c r="H209" s="11"/>
      <c r="I209" s="11"/>
      <c r="J209" s="11" t="s">
        <v>343</v>
      </c>
      <c r="K209" s="1" t="s">
        <v>745</v>
      </c>
      <c r="L209" s="1" t="s">
        <v>746</v>
      </c>
      <c r="M209" s="1" t="s">
        <v>747</v>
      </c>
      <c r="N209" s="1" t="s">
        <v>748</v>
      </c>
      <c r="O209" s="1" t="n">
        <f aca="false">'Behovsmodell (75p)'!$B$62+'Behovsmodell (75p)'!$B$76</f>
        <v>196658</v>
      </c>
      <c r="P209" s="1" t="n">
        <f aca="false">('Behovsmodell (75p)'!$B$62+'Behovsmodell (75p)'!$B$76)/12</f>
        <v>16388.1666666667</v>
      </c>
    </row>
    <row r="210" customFormat="false" ht="15" hidden="false" customHeight="true" outlineLevel="0" collapsed="false">
      <c r="A210" s="11" t="s">
        <v>749</v>
      </c>
      <c r="B210" s="11"/>
      <c r="C210" s="11" t="s">
        <v>339</v>
      </c>
      <c r="D210" s="11" t="s">
        <v>352</v>
      </c>
      <c r="E210" s="11" t="s">
        <v>356</v>
      </c>
      <c r="F210" s="11" t="s">
        <v>750</v>
      </c>
      <c r="G210" s="11" t="s">
        <v>84</v>
      </c>
      <c r="H210" s="11"/>
      <c r="I210" s="11"/>
      <c r="J210" s="11" t="s">
        <v>343</v>
      </c>
      <c r="O210" s="1" t="n">
        <f aca="false">'Behovsmodell (75p)'!$B$68</f>
        <v>330040.65</v>
      </c>
      <c r="P210" s="1" t="n">
        <f aca="false">('Behovsmodell (75p)'!$B$68)/12</f>
        <v>27503.3875</v>
      </c>
    </row>
    <row r="211" customFormat="false" ht="15" hidden="false" customHeight="true" outlineLevel="0" collapsed="false">
      <c r="A211" s="11" t="s">
        <v>751</v>
      </c>
      <c r="B211" s="11"/>
      <c r="C211" s="11" t="s">
        <v>339</v>
      </c>
      <c r="D211" s="11"/>
      <c r="E211" s="11" t="s">
        <v>356</v>
      </c>
      <c r="F211" s="11" t="s">
        <v>358</v>
      </c>
      <c r="G211" s="11"/>
      <c r="H211" s="11"/>
      <c r="I211" s="11"/>
      <c r="J211" s="11" t="s">
        <v>343</v>
      </c>
    </row>
    <row r="212" customFormat="false" ht="15" hidden="false" customHeight="true" outlineLevel="0" collapsed="false">
      <c r="A212" s="11" t="s">
        <v>180</v>
      </c>
      <c r="B212" s="11"/>
      <c r="C212" s="11" t="s">
        <v>339</v>
      </c>
      <c r="D212" s="11"/>
      <c r="E212" s="11" t="s">
        <v>356</v>
      </c>
      <c r="F212" s="11"/>
      <c r="G212" s="11"/>
      <c r="H212" s="11"/>
      <c r="I212" s="11"/>
      <c r="J212" s="11" t="s">
        <v>343</v>
      </c>
    </row>
    <row r="213" customFormat="false" ht="15" hidden="false" customHeight="true" outlineLevel="0" collapsed="false">
      <c r="A213" s="11" t="s">
        <v>752</v>
      </c>
      <c r="B213" s="11" t="s">
        <v>597</v>
      </c>
      <c r="C213" s="11" t="s">
        <v>597</v>
      </c>
      <c r="D213" s="11"/>
      <c r="E213" s="11" t="s">
        <v>356</v>
      </c>
      <c r="F213" s="11"/>
      <c r="G213" s="11"/>
      <c r="H213" s="11"/>
      <c r="I213" s="11"/>
      <c r="J213" s="11" t="s">
        <v>343</v>
      </c>
    </row>
    <row r="214" customFormat="false" ht="15" hidden="false" customHeight="true" outlineLevel="0" collapsed="false">
      <c r="A214" s="11" t="s">
        <v>752</v>
      </c>
      <c r="B214" s="11"/>
      <c r="C214" s="11" t="s">
        <v>339</v>
      </c>
      <c r="D214" s="11" t="s">
        <v>347</v>
      </c>
      <c r="E214" s="11"/>
      <c r="F214" s="11"/>
      <c r="G214" s="11" t="s">
        <v>31</v>
      </c>
      <c r="H214" s="11"/>
      <c r="I214" s="11"/>
      <c r="J214" s="11" t="s">
        <v>343</v>
      </c>
      <c r="O214" s="1" t="n">
        <f aca="false">'Behovsmodell (75p)'!$B$62</f>
        <v>85559</v>
      </c>
      <c r="P214" s="1" t="n">
        <f aca="false">('Behovsmodell (75p)'!$B$62)/12</f>
        <v>7129.91666666667</v>
      </c>
    </row>
    <row r="215" customFormat="false" ht="15" hidden="false" customHeight="true" outlineLevel="0" collapsed="false">
      <c r="A215" s="11" t="s">
        <v>753</v>
      </c>
      <c r="B215" s="11" t="s">
        <v>602</v>
      </c>
      <c r="C215" s="11" t="s">
        <v>339</v>
      </c>
      <c r="D215" s="11" t="s">
        <v>352</v>
      </c>
      <c r="E215" s="11"/>
      <c r="F215" s="11"/>
      <c r="G215" s="11" t="s">
        <v>84</v>
      </c>
      <c r="H215" s="11"/>
      <c r="I215" s="11"/>
      <c r="J215" s="11" t="s">
        <v>343</v>
      </c>
      <c r="O215" s="1" t="n">
        <f aca="false">'Behovsmodell (75p)'!$B$68</f>
        <v>330040.65</v>
      </c>
      <c r="P215" s="1" t="n">
        <f aca="false">('Behovsmodell (75p)'!$B$68)/12</f>
        <v>27503.3875</v>
      </c>
    </row>
    <row r="216" customFormat="false" ht="15" hidden="false" customHeight="true" outlineLevel="0" collapsed="false">
      <c r="A216" s="11" t="s">
        <v>754</v>
      </c>
      <c r="B216" s="11" t="s">
        <v>338</v>
      </c>
      <c r="C216" s="11" t="s">
        <v>339</v>
      </c>
      <c r="D216" s="11" t="s">
        <v>340</v>
      </c>
      <c r="E216" s="11" t="s">
        <v>341</v>
      </c>
      <c r="F216" s="11"/>
      <c r="G216" s="11"/>
      <c r="H216" s="11" t="s">
        <v>340</v>
      </c>
      <c r="I216" s="11"/>
      <c r="J216" s="11" t="s">
        <v>343</v>
      </c>
    </row>
    <row r="217" customFormat="false" ht="15" hidden="false" customHeight="true" outlineLevel="0" collapsed="false">
      <c r="A217" s="11" t="s">
        <v>755</v>
      </c>
      <c r="B217" s="11"/>
      <c r="C217" s="11" t="s">
        <v>351</v>
      </c>
      <c r="D217" s="11" t="s">
        <v>347</v>
      </c>
      <c r="E217" s="11" t="s">
        <v>356</v>
      </c>
      <c r="F217" s="11" t="s">
        <v>358</v>
      </c>
      <c r="G217" s="11" t="s">
        <v>31</v>
      </c>
      <c r="H217" s="11"/>
      <c r="I217" s="11"/>
      <c r="J217" s="11" t="s">
        <v>343</v>
      </c>
      <c r="O217" s="1" t="n">
        <f aca="false">'Behovsmodell (75p)'!$B$62</f>
        <v>85559</v>
      </c>
      <c r="P217" s="1" t="n">
        <f aca="false">('Behovsmodell (75p)'!$B$62)/12</f>
        <v>7129.91666666667</v>
      </c>
    </row>
    <row r="218" customFormat="false" ht="15" hidden="false" customHeight="true" outlineLevel="0" collapsed="false">
      <c r="A218" s="11" t="s">
        <v>756</v>
      </c>
      <c r="B218" s="11"/>
      <c r="C218" s="11" t="s">
        <v>339</v>
      </c>
      <c r="D218" s="11" t="s">
        <v>340</v>
      </c>
      <c r="E218" s="11" t="s">
        <v>341</v>
      </c>
      <c r="F218" s="11"/>
      <c r="G218" s="11"/>
      <c r="H218" s="11" t="s">
        <v>340</v>
      </c>
      <c r="I218" s="11"/>
      <c r="J218" s="11" t="s">
        <v>343</v>
      </c>
    </row>
    <row r="219" customFormat="false" ht="15" hidden="false" customHeight="true" outlineLevel="0" collapsed="false">
      <c r="A219" s="11" t="s">
        <v>757</v>
      </c>
      <c r="B219" s="11"/>
      <c r="C219" s="11" t="s">
        <v>355</v>
      </c>
      <c r="D219" s="11" t="s">
        <v>347</v>
      </c>
      <c r="E219" s="11" t="s">
        <v>356</v>
      </c>
      <c r="F219" s="11" t="s">
        <v>441</v>
      </c>
      <c r="G219" s="11" t="s">
        <v>31</v>
      </c>
      <c r="H219" s="11"/>
      <c r="I219" s="11"/>
      <c r="J219" s="11" t="s">
        <v>343</v>
      </c>
      <c r="O219" s="1" t="n">
        <f aca="false">'Behovsmodell (75p)'!$B$62</f>
        <v>85559</v>
      </c>
      <c r="P219" s="1" t="n">
        <f aca="false">('Behovsmodell (75p)'!$B$62)/12</f>
        <v>7129.91666666667</v>
      </c>
    </row>
    <row r="220" customFormat="false" ht="15" hidden="false" customHeight="true" outlineLevel="0" collapsed="false">
      <c r="A220" s="11" t="s">
        <v>758</v>
      </c>
      <c r="B220" s="11"/>
      <c r="C220" s="11" t="s">
        <v>457</v>
      </c>
      <c r="D220" s="11" t="s">
        <v>366</v>
      </c>
      <c r="E220" s="11" t="s">
        <v>341</v>
      </c>
      <c r="F220" s="11"/>
      <c r="G220" s="11"/>
      <c r="H220" s="11" t="s">
        <v>366</v>
      </c>
      <c r="I220" s="11"/>
      <c r="J220" s="11" t="s">
        <v>343</v>
      </c>
    </row>
    <row r="221" customFormat="false" ht="15" hidden="false" customHeight="true" outlineLevel="0" collapsed="false">
      <c r="A221" s="11" t="s">
        <v>758</v>
      </c>
      <c r="B221" s="11"/>
      <c r="C221" s="11" t="s">
        <v>355</v>
      </c>
      <c r="D221" s="11" t="s">
        <v>366</v>
      </c>
      <c r="E221" s="11" t="s">
        <v>341</v>
      </c>
      <c r="F221" s="11"/>
      <c r="G221" s="11"/>
      <c r="H221" s="11" t="s">
        <v>366</v>
      </c>
      <c r="I221" s="11"/>
      <c r="J221" s="11" t="s">
        <v>343</v>
      </c>
    </row>
    <row r="222" customFormat="false" ht="15" hidden="false" customHeight="true" outlineLevel="0" collapsed="false">
      <c r="A222" s="11" t="s">
        <v>758</v>
      </c>
      <c r="B222" s="11"/>
      <c r="C222" s="11" t="s">
        <v>339</v>
      </c>
      <c r="D222" s="11" t="s">
        <v>366</v>
      </c>
      <c r="E222" s="11" t="s">
        <v>341</v>
      </c>
      <c r="F222" s="11"/>
      <c r="G222" s="11"/>
      <c r="H222" s="11" t="s">
        <v>366</v>
      </c>
      <c r="I222" s="11"/>
      <c r="J222" s="11" t="s">
        <v>343</v>
      </c>
    </row>
    <row r="223" customFormat="false" ht="15" hidden="false" customHeight="true" outlineLevel="0" collapsed="false">
      <c r="A223" s="11" t="s">
        <v>759</v>
      </c>
      <c r="B223" s="11"/>
      <c r="C223" s="11" t="s">
        <v>355</v>
      </c>
      <c r="D223" s="11"/>
      <c r="E223" s="11" t="s">
        <v>356</v>
      </c>
      <c r="F223" s="11" t="s">
        <v>358</v>
      </c>
      <c r="G223" s="11"/>
      <c r="H223" s="11"/>
      <c r="I223" s="11"/>
      <c r="J223" s="11" t="s">
        <v>343</v>
      </c>
    </row>
    <row r="224" customFormat="false" ht="15" hidden="false" customHeight="true" outlineLevel="0" collapsed="false">
      <c r="A224" s="11" t="s">
        <v>760</v>
      </c>
      <c r="B224" s="11"/>
      <c r="C224" s="11" t="s">
        <v>355</v>
      </c>
      <c r="D224" s="11"/>
      <c r="E224" s="11" t="s">
        <v>356</v>
      </c>
      <c r="F224" s="11"/>
      <c r="G224" s="11"/>
      <c r="H224" s="11"/>
      <c r="I224" s="11"/>
      <c r="J224" s="11" t="s">
        <v>343</v>
      </c>
    </row>
    <row r="225" customFormat="false" ht="15" hidden="false" customHeight="true" outlineLevel="0" collapsed="false">
      <c r="A225" s="11" t="s">
        <v>761</v>
      </c>
      <c r="B225" s="11"/>
      <c r="C225" s="11" t="s">
        <v>361</v>
      </c>
      <c r="D225" s="11"/>
      <c r="E225" s="11" t="s">
        <v>356</v>
      </c>
      <c r="F225" s="11" t="s">
        <v>750</v>
      </c>
      <c r="G225" s="11"/>
      <c r="H225" s="11"/>
      <c r="I225" s="11"/>
      <c r="J225" s="11" t="s">
        <v>343</v>
      </c>
    </row>
    <row r="226" customFormat="false" ht="15" hidden="false" customHeight="true" outlineLevel="0" collapsed="false">
      <c r="A226" s="11" t="s">
        <v>762</v>
      </c>
      <c r="B226" s="11"/>
      <c r="C226" s="11" t="s">
        <v>597</v>
      </c>
      <c r="D226" s="11"/>
      <c r="E226" s="11" t="s">
        <v>356</v>
      </c>
      <c r="F226" s="11" t="s">
        <v>358</v>
      </c>
      <c r="G226" s="11"/>
      <c r="H226" s="11"/>
      <c r="I226" s="11"/>
      <c r="J226" s="11" t="s">
        <v>343</v>
      </c>
    </row>
    <row r="227" customFormat="false" ht="15" hidden="false" customHeight="true" outlineLevel="0" collapsed="false">
      <c r="A227" s="11" t="s">
        <v>763</v>
      </c>
      <c r="B227" s="11"/>
      <c r="C227" s="11" t="s">
        <v>457</v>
      </c>
      <c r="D227" s="11" t="s">
        <v>764</v>
      </c>
      <c r="E227" s="11" t="s">
        <v>341</v>
      </c>
      <c r="F227" s="11" t="s">
        <v>435</v>
      </c>
      <c r="G227" s="11"/>
      <c r="H227" s="11" t="s">
        <v>764</v>
      </c>
      <c r="I227" s="11"/>
      <c r="J227" s="11" t="s">
        <v>343</v>
      </c>
      <c r="K227" s="1" t="s">
        <v>765</v>
      </c>
      <c r="L227" s="1" t="s">
        <v>766</v>
      </c>
      <c r="N227" s="1" t="s">
        <v>767</v>
      </c>
    </row>
    <row r="228" customFormat="false" ht="15" hidden="false" customHeight="true" outlineLevel="0" collapsed="false">
      <c r="A228" s="11" t="s">
        <v>768</v>
      </c>
      <c r="B228" s="11" t="s">
        <v>429</v>
      </c>
      <c r="C228" s="11" t="s">
        <v>361</v>
      </c>
      <c r="D228" s="11" t="s">
        <v>340</v>
      </c>
      <c r="E228" s="11" t="s">
        <v>341</v>
      </c>
      <c r="F228" s="11"/>
      <c r="G228" s="11"/>
      <c r="H228" s="11" t="s">
        <v>340</v>
      </c>
      <c r="I228" s="11"/>
      <c r="J228" s="11" t="s">
        <v>343</v>
      </c>
    </row>
    <row r="229" customFormat="false" ht="15" hidden="false" customHeight="true" outlineLevel="0" collapsed="false">
      <c r="A229" s="11" t="s">
        <v>769</v>
      </c>
      <c r="B229" s="11"/>
      <c r="C229" s="11" t="s">
        <v>339</v>
      </c>
      <c r="D229" s="11"/>
      <c r="E229" s="11" t="s">
        <v>396</v>
      </c>
      <c r="F229" s="11"/>
      <c r="G229" s="11"/>
      <c r="H229" s="11"/>
      <c r="I229" s="11"/>
      <c r="J229" s="11" t="s">
        <v>343</v>
      </c>
    </row>
    <row r="230" customFormat="false" ht="15" hidden="false" customHeight="true" outlineLevel="0" collapsed="false">
      <c r="A230" s="11" t="s">
        <v>770</v>
      </c>
      <c r="B230" s="11" t="s">
        <v>338</v>
      </c>
      <c r="C230" s="11" t="s">
        <v>339</v>
      </c>
      <c r="D230" s="11"/>
      <c r="E230" s="11" t="s">
        <v>356</v>
      </c>
      <c r="F230" s="11" t="s">
        <v>771</v>
      </c>
      <c r="G230" s="11"/>
      <c r="H230" s="11"/>
      <c r="I230" s="11"/>
      <c r="J230" s="11" t="s">
        <v>343</v>
      </c>
    </row>
    <row r="231" customFormat="false" ht="15" hidden="false" customHeight="true" outlineLevel="0" collapsed="false">
      <c r="A231" s="11" t="s">
        <v>772</v>
      </c>
      <c r="B231" s="11"/>
      <c r="C231" s="11" t="s">
        <v>457</v>
      </c>
      <c r="D231" s="11" t="s">
        <v>347</v>
      </c>
      <c r="E231" s="11" t="s">
        <v>356</v>
      </c>
      <c r="F231" s="11"/>
      <c r="G231" s="11" t="s">
        <v>31</v>
      </c>
      <c r="H231" s="11"/>
      <c r="I231" s="11"/>
      <c r="J231" s="11" t="s">
        <v>343</v>
      </c>
      <c r="O231" s="1" t="n">
        <f aca="false">'Behovsmodell (75p)'!$B$62</f>
        <v>85559</v>
      </c>
      <c r="P231" s="1" t="n">
        <f aca="false">('Behovsmodell (75p)'!$B$62)/12</f>
        <v>7129.91666666667</v>
      </c>
    </row>
    <row r="232" customFormat="false" ht="15" hidden="false" customHeight="true" outlineLevel="0" collapsed="false">
      <c r="A232" s="11" t="s">
        <v>773</v>
      </c>
      <c r="B232" s="11"/>
      <c r="C232" s="11" t="s">
        <v>346</v>
      </c>
      <c r="D232" s="11"/>
      <c r="E232" s="11" t="s">
        <v>396</v>
      </c>
      <c r="F232" s="11" t="s">
        <v>774</v>
      </c>
      <c r="G232" s="11"/>
      <c r="H232" s="11"/>
      <c r="I232" s="11"/>
      <c r="J232" s="11" t="s">
        <v>343</v>
      </c>
    </row>
    <row r="233" customFormat="false" ht="15" hidden="false" customHeight="true" outlineLevel="0" collapsed="false">
      <c r="A233" s="11" t="s">
        <v>775</v>
      </c>
      <c r="B233" s="11" t="s">
        <v>388</v>
      </c>
      <c r="C233" s="11" t="s">
        <v>388</v>
      </c>
      <c r="D233" s="11"/>
      <c r="E233" s="11" t="s">
        <v>356</v>
      </c>
      <c r="F233" s="11"/>
      <c r="G233" s="11"/>
      <c r="H233" s="11"/>
      <c r="I233" s="11"/>
      <c r="J233" s="11" t="s">
        <v>343</v>
      </c>
    </row>
    <row r="234" customFormat="false" ht="15" hidden="false" customHeight="true" outlineLevel="0" collapsed="false">
      <c r="A234" s="11" t="s">
        <v>776</v>
      </c>
      <c r="B234" s="11" t="s">
        <v>388</v>
      </c>
      <c r="C234" s="11" t="s">
        <v>388</v>
      </c>
      <c r="D234" s="11"/>
      <c r="E234" s="11" t="s">
        <v>356</v>
      </c>
      <c r="F234" s="11" t="s">
        <v>777</v>
      </c>
      <c r="G234" s="11"/>
      <c r="H234" s="11"/>
      <c r="I234" s="11"/>
      <c r="J234" s="11" t="s">
        <v>343</v>
      </c>
    </row>
    <row r="235" customFormat="false" ht="15" hidden="false" customHeight="true" outlineLevel="0" collapsed="false">
      <c r="A235" s="11" t="s">
        <v>778</v>
      </c>
      <c r="B235" s="11"/>
      <c r="C235" s="11" t="s">
        <v>339</v>
      </c>
      <c r="D235" s="11" t="s">
        <v>347</v>
      </c>
      <c r="E235" s="11" t="s">
        <v>396</v>
      </c>
      <c r="F235" s="11"/>
      <c r="G235" s="11" t="s">
        <v>31</v>
      </c>
      <c r="H235" s="11"/>
      <c r="I235" s="11"/>
      <c r="J235" s="11" t="s">
        <v>343</v>
      </c>
      <c r="O235" s="1" t="n">
        <f aca="false">'Behovsmodell (75p)'!$B$62</f>
        <v>85559</v>
      </c>
      <c r="P235" s="1" t="n">
        <f aca="false">('Behovsmodell (75p)'!$B$62)/12</f>
        <v>7129.91666666667</v>
      </c>
    </row>
    <row r="236" customFormat="false" ht="15" hidden="false" customHeight="true" outlineLevel="0" collapsed="false">
      <c r="A236" s="11" t="s">
        <v>779</v>
      </c>
      <c r="B236" s="11"/>
      <c r="C236" s="11" t="s">
        <v>361</v>
      </c>
      <c r="D236" s="11" t="s">
        <v>633</v>
      </c>
      <c r="E236" s="11" t="s">
        <v>356</v>
      </c>
      <c r="F236" s="11"/>
      <c r="G236" s="11" t="s">
        <v>634</v>
      </c>
      <c r="H236" s="11"/>
      <c r="I236" s="11"/>
      <c r="J236" s="11" t="s">
        <v>343</v>
      </c>
      <c r="O236" s="1" t="n">
        <f aca="false">'Behovsmodell (75p)'!$B$62+'Behovsmodell (75p)'!$B$76</f>
        <v>196658</v>
      </c>
      <c r="P236" s="1" t="n">
        <f aca="false">('Behovsmodell (75p)'!$B$62+'Behovsmodell (75p)'!$B$76)/12</f>
        <v>16388.1666666667</v>
      </c>
    </row>
    <row r="237" customFormat="false" ht="15" hidden="false" customHeight="true" outlineLevel="0" collapsed="false">
      <c r="A237" s="11" t="s">
        <v>780</v>
      </c>
      <c r="B237" s="11" t="s">
        <v>695</v>
      </c>
      <c r="C237" s="11" t="s">
        <v>351</v>
      </c>
      <c r="D237" s="11"/>
      <c r="E237" s="11" t="s">
        <v>356</v>
      </c>
      <c r="F237" s="11" t="s">
        <v>781</v>
      </c>
      <c r="G237" s="11"/>
      <c r="H237" s="11"/>
      <c r="I237" s="11"/>
      <c r="J237" s="11" t="s">
        <v>343</v>
      </c>
      <c r="K237" s="1" t="s">
        <v>782</v>
      </c>
      <c r="L237" s="1" t="s">
        <v>783</v>
      </c>
      <c r="M237" s="1" t="s">
        <v>784</v>
      </c>
      <c r="N237" s="1" t="s">
        <v>785</v>
      </c>
    </row>
    <row r="238" customFormat="false" ht="15" hidden="false" customHeight="true" outlineLevel="0" collapsed="false">
      <c r="A238" s="11" t="s">
        <v>786</v>
      </c>
      <c r="B238" s="11"/>
      <c r="C238" s="11" t="s">
        <v>355</v>
      </c>
      <c r="D238" s="11"/>
      <c r="E238" s="11" t="s">
        <v>396</v>
      </c>
      <c r="F238" s="11" t="s">
        <v>358</v>
      </c>
      <c r="G238" s="11"/>
      <c r="H238" s="11"/>
      <c r="I238" s="11"/>
      <c r="J238" s="11" t="s">
        <v>343</v>
      </c>
    </row>
    <row r="239" customFormat="false" ht="15" hidden="false" customHeight="true" outlineLevel="0" collapsed="false">
      <c r="A239" s="11" t="s">
        <v>787</v>
      </c>
      <c r="B239" s="11"/>
      <c r="C239" s="11" t="s">
        <v>339</v>
      </c>
      <c r="D239" s="11"/>
      <c r="E239" s="11" t="s">
        <v>356</v>
      </c>
      <c r="F239" s="11"/>
      <c r="G239" s="11"/>
      <c r="H239" s="11"/>
      <c r="I239" s="11"/>
      <c r="J239" s="11" t="s">
        <v>343</v>
      </c>
    </row>
    <row r="240" customFormat="false" ht="15" hidden="false" customHeight="true" outlineLevel="0" collapsed="false">
      <c r="A240" s="11" t="s">
        <v>788</v>
      </c>
      <c r="B240" s="11" t="s">
        <v>350</v>
      </c>
      <c r="C240" s="11" t="s">
        <v>351</v>
      </c>
      <c r="D240" s="11"/>
      <c r="E240" s="11" t="s">
        <v>356</v>
      </c>
      <c r="F240" s="11" t="s">
        <v>358</v>
      </c>
      <c r="G240" s="11"/>
      <c r="H240" s="11"/>
      <c r="I240" s="11"/>
      <c r="J240" s="11" t="s">
        <v>343</v>
      </c>
    </row>
    <row r="241" customFormat="false" ht="15" hidden="false" customHeight="true" outlineLevel="0" collapsed="false">
      <c r="A241" s="11" t="s">
        <v>789</v>
      </c>
      <c r="B241" s="11" t="s">
        <v>500</v>
      </c>
      <c r="C241" s="11" t="s">
        <v>355</v>
      </c>
      <c r="D241" s="11" t="s">
        <v>347</v>
      </c>
      <c r="E241" s="11" t="s">
        <v>356</v>
      </c>
      <c r="F241" s="11"/>
      <c r="G241" s="11" t="s">
        <v>31</v>
      </c>
      <c r="H241" s="11"/>
      <c r="I241" s="11"/>
      <c r="J241" s="11" t="s">
        <v>343</v>
      </c>
      <c r="O241" s="1" t="n">
        <f aca="false">'Behovsmodell (75p)'!$B$62</f>
        <v>85559</v>
      </c>
      <c r="P241" s="1" t="n">
        <f aca="false">('Behovsmodell (75p)'!$B$62)/12</f>
        <v>7129.91666666667</v>
      </c>
    </row>
    <row r="242" customFormat="false" ht="15" hidden="false" customHeight="true" outlineLevel="0" collapsed="false">
      <c r="A242" s="11" t="s">
        <v>790</v>
      </c>
      <c r="B242" s="11"/>
      <c r="C242" s="11" t="s">
        <v>361</v>
      </c>
      <c r="D242" s="11" t="s">
        <v>375</v>
      </c>
      <c r="E242" s="11" t="s">
        <v>356</v>
      </c>
      <c r="F242" s="11" t="s">
        <v>358</v>
      </c>
      <c r="G242" s="11" t="s">
        <v>68</v>
      </c>
      <c r="H242" s="11"/>
      <c r="I242" s="11"/>
      <c r="J242" s="11" t="s">
        <v>343</v>
      </c>
      <c r="O242" s="1" t="n">
        <f aca="false">'Behovsmodell (75p)'!$B$66</f>
        <v>206427.05</v>
      </c>
      <c r="P242" s="1" t="n">
        <f aca="false">('Behovsmodell (75p)'!$B$66)/12</f>
        <v>17202.2541666667</v>
      </c>
    </row>
    <row r="243" customFormat="false" ht="15" hidden="false" customHeight="true" outlineLevel="0" collapsed="false">
      <c r="A243" s="11" t="s">
        <v>791</v>
      </c>
      <c r="B243" s="11"/>
      <c r="C243" s="11" t="s">
        <v>361</v>
      </c>
      <c r="D243" s="11" t="s">
        <v>375</v>
      </c>
      <c r="E243" s="11" t="s">
        <v>356</v>
      </c>
      <c r="F243" s="11" t="s">
        <v>792</v>
      </c>
      <c r="G243" s="11" t="s">
        <v>68</v>
      </c>
      <c r="H243" s="11"/>
      <c r="I243" s="11"/>
      <c r="J243" s="11" t="s">
        <v>343</v>
      </c>
      <c r="O243" s="1" t="n">
        <f aca="false">'Behovsmodell (75p)'!$B$66</f>
        <v>206427.05</v>
      </c>
      <c r="P243" s="1" t="n">
        <f aca="false">('Behovsmodell (75p)'!$B$66)/12</f>
        <v>17202.2541666667</v>
      </c>
    </row>
    <row r="244" customFormat="false" ht="15" hidden="false" customHeight="true" outlineLevel="0" collapsed="false">
      <c r="A244" s="11" t="s">
        <v>793</v>
      </c>
      <c r="B244" s="11" t="s">
        <v>528</v>
      </c>
      <c r="C244" s="11" t="s">
        <v>355</v>
      </c>
      <c r="D244" s="11" t="s">
        <v>340</v>
      </c>
      <c r="E244" s="11" t="s">
        <v>341</v>
      </c>
      <c r="F244" s="11"/>
      <c r="G244" s="11"/>
      <c r="H244" s="11" t="s">
        <v>340</v>
      </c>
      <c r="I244" s="11"/>
      <c r="J244" s="11" t="s">
        <v>343</v>
      </c>
    </row>
    <row r="245" customFormat="false" ht="15" hidden="false" customHeight="true" outlineLevel="0" collapsed="false">
      <c r="A245" s="11" t="s">
        <v>794</v>
      </c>
      <c r="B245" s="11" t="s">
        <v>528</v>
      </c>
      <c r="C245" s="11" t="s">
        <v>355</v>
      </c>
      <c r="D245" s="11" t="s">
        <v>340</v>
      </c>
      <c r="E245" s="11" t="s">
        <v>341</v>
      </c>
      <c r="F245" s="11"/>
      <c r="G245" s="11"/>
      <c r="H245" s="11" t="s">
        <v>340</v>
      </c>
      <c r="I245" s="11"/>
      <c r="J245" s="11" t="s">
        <v>343</v>
      </c>
    </row>
    <row r="246" customFormat="false" ht="15" hidden="false" customHeight="true" outlineLevel="0" collapsed="false">
      <c r="A246" s="11" t="s">
        <v>795</v>
      </c>
      <c r="B246" s="11"/>
      <c r="C246" s="11" t="s">
        <v>339</v>
      </c>
      <c r="D246" s="11" t="s">
        <v>347</v>
      </c>
      <c r="E246" s="11" t="s">
        <v>356</v>
      </c>
      <c r="F246" s="11"/>
      <c r="G246" s="11" t="s">
        <v>31</v>
      </c>
      <c r="H246" s="11"/>
      <c r="I246" s="11"/>
      <c r="J246" s="11" t="s">
        <v>343</v>
      </c>
      <c r="O246" s="1" t="n">
        <f aca="false">'Behovsmodell (75p)'!$B$62</f>
        <v>85559</v>
      </c>
      <c r="P246" s="1" t="n">
        <f aca="false">('Behovsmodell (75p)'!$B$62)/12</f>
        <v>7129.91666666667</v>
      </c>
    </row>
    <row r="247" customFormat="false" ht="15" hidden="false" customHeight="true" outlineLevel="0" collapsed="false">
      <c r="A247" s="11" t="s">
        <v>795</v>
      </c>
      <c r="B247" s="11" t="s">
        <v>360</v>
      </c>
      <c r="C247" s="11" t="s">
        <v>361</v>
      </c>
      <c r="D247" s="11" t="s">
        <v>347</v>
      </c>
      <c r="E247" s="11" t="s">
        <v>356</v>
      </c>
      <c r="F247" s="11"/>
      <c r="G247" s="11" t="s">
        <v>31</v>
      </c>
      <c r="H247" s="11"/>
      <c r="I247" s="11"/>
      <c r="J247" s="11" t="s">
        <v>343</v>
      </c>
      <c r="O247" s="1" t="n">
        <f aca="false">'Behovsmodell (75p)'!$B$62</f>
        <v>85559</v>
      </c>
      <c r="P247" s="1" t="n">
        <f aca="false">('Behovsmodell (75p)'!$B$62)/12</f>
        <v>7129.91666666667</v>
      </c>
    </row>
    <row r="248" customFormat="false" ht="15" hidden="false" customHeight="true" outlineLevel="0" collapsed="false">
      <c r="A248" s="11" t="s">
        <v>796</v>
      </c>
      <c r="B248" s="11" t="s">
        <v>528</v>
      </c>
      <c r="C248" s="11" t="s">
        <v>355</v>
      </c>
      <c r="D248" s="11"/>
      <c r="E248" s="11" t="s">
        <v>356</v>
      </c>
      <c r="F248" s="11" t="s">
        <v>559</v>
      </c>
      <c r="G248" s="11"/>
      <c r="H248" s="11"/>
      <c r="I248" s="11"/>
      <c r="J248" s="11" t="s">
        <v>343</v>
      </c>
    </row>
    <row r="249" customFormat="false" ht="15" hidden="false" customHeight="true" outlineLevel="0" collapsed="false">
      <c r="A249" s="11" t="s">
        <v>797</v>
      </c>
      <c r="B249" s="11" t="s">
        <v>368</v>
      </c>
      <c r="C249" s="11" t="s">
        <v>361</v>
      </c>
      <c r="D249" s="11"/>
      <c r="E249" s="11" t="s">
        <v>396</v>
      </c>
      <c r="F249" s="11" t="s">
        <v>362</v>
      </c>
      <c r="G249" s="11"/>
      <c r="H249" s="11"/>
      <c r="I249" s="11"/>
      <c r="J249" s="11" t="s">
        <v>343</v>
      </c>
    </row>
    <row r="250" customFormat="false" ht="15" hidden="false" customHeight="true" outlineLevel="0" collapsed="false">
      <c r="A250" s="11" t="s">
        <v>798</v>
      </c>
      <c r="B250" s="11"/>
      <c r="C250" s="11" t="s">
        <v>355</v>
      </c>
      <c r="D250" s="11" t="s">
        <v>340</v>
      </c>
      <c r="E250" s="11" t="s">
        <v>341</v>
      </c>
      <c r="F250" s="11" t="s">
        <v>358</v>
      </c>
      <c r="G250" s="11"/>
      <c r="H250" s="11" t="s">
        <v>340</v>
      </c>
      <c r="I250" s="11"/>
      <c r="J250" s="11" t="s">
        <v>343</v>
      </c>
    </row>
    <row r="251" customFormat="false" ht="15" hidden="false" customHeight="true" outlineLevel="0" collapsed="false">
      <c r="A251" s="11" t="s">
        <v>799</v>
      </c>
      <c r="B251" s="11" t="s">
        <v>536</v>
      </c>
      <c r="C251" s="11" t="s">
        <v>536</v>
      </c>
      <c r="D251" s="11" t="s">
        <v>340</v>
      </c>
      <c r="E251" s="11" t="s">
        <v>341</v>
      </c>
      <c r="F251" s="11"/>
      <c r="G251" s="11"/>
      <c r="H251" s="11" t="s">
        <v>340</v>
      </c>
      <c r="I251" s="11"/>
      <c r="J251" s="11" t="s">
        <v>343</v>
      </c>
    </row>
    <row r="252" customFormat="false" ht="15" hidden="false" customHeight="true" outlineLevel="0" collapsed="false">
      <c r="A252" s="11" t="s">
        <v>800</v>
      </c>
      <c r="B252" s="11"/>
      <c r="C252" s="11" t="s">
        <v>245</v>
      </c>
      <c r="D252" s="11"/>
      <c r="E252" s="11" t="s">
        <v>356</v>
      </c>
      <c r="F252" s="11" t="s">
        <v>353</v>
      </c>
      <c r="G252" s="11"/>
      <c r="H252" s="11"/>
      <c r="I252" s="11"/>
      <c r="J252" s="11" t="s">
        <v>343</v>
      </c>
      <c r="K252" s="1" t="s">
        <v>801</v>
      </c>
      <c r="L252" s="1" t="s">
        <v>802</v>
      </c>
      <c r="N252" s="1" t="s">
        <v>803</v>
      </c>
    </row>
    <row r="253" customFormat="false" ht="15" hidden="false" customHeight="true" outlineLevel="0" collapsed="false">
      <c r="A253" s="11" t="s">
        <v>804</v>
      </c>
      <c r="B253" s="11"/>
      <c r="C253" s="11" t="s">
        <v>245</v>
      </c>
      <c r="D253" s="11" t="s">
        <v>347</v>
      </c>
      <c r="E253" s="11"/>
      <c r="F253" s="11"/>
      <c r="G253" s="11" t="s">
        <v>31</v>
      </c>
      <c r="H253" s="11"/>
      <c r="I253" s="11"/>
      <c r="J253" s="11" t="s">
        <v>343</v>
      </c>
      <c r="O253" s="1" t="n">
        <f aca="false">'Behovsmodell (75p)'!$B$62</f>
        <v>85559</v>
      </c>
      <c r="P253" s="1" t="n">
        <f aca="false">('Behovsmodell (75p)'!$B$62)/12</f>
        <v>7129.91666666667</v>
      </c>
    </row>
    <row r="254" customFormat="false" ht="15" hidden="false" customHeight="true" outlineLevel="0" collapsed="false">
      <c r="A254" s="11" t="s">
        <v>805</v>
      </c>
      <c r="B254" s="11"/>
      <c r="C254" s="11" t="s">
        <v>403</v>
      </c>
      <c r="D254" s="11"/>
      <c r="E254" s="11"/>
      <c r="F254" s="11" t="s">
        <v>539</v>
      </c>
      <c r="G254" s="11"/>
      <c r="H254" s="11"/>
      <c r="I254" s="11"/>
      <c r="J254" s="11" t="s">
        <v>343</v>
      </c>
    </row>
    <row r="255" customFormat="false" ht="15" hidden="false" customHeight="true" outlineLevel="0" collapsed="false">
      <c r="A255" s="11" t="s">
        <v>806</v>
      </c>
      <c r="B255" s="11" t="s">
        <v>408</v>
      </c>
      <c r="C255" s="11" t="s">
        <v>355</v>
      </c>
      <c r="D255" s="11" t="s">
        <v>347</v>
      </c>
      <c r="E255" s="11" t="s">
        <v>356</v>
      </c>
      <c r="F255" s="11" t="s">
        <v>807</v>
      </c>
      <c r="G255" s="11" t="s">
        <v>31</v>
      </c>
      <c r="H255" s="11"/>
      <c r="I255" s="11"/>
      <c r="J255" s="11" t="s">
        <v>343</v>
      </c>
      <c r="K255" s="1" t="s">
        <v>808</v>
      </c>
      <c r="L255" s="1" t="s">
        <v>809</v>
      </c>
      <c r="M255" s="1" t="s">
        <v>810</v>
      </c>
      <c r="N255" s="1" t="s">
        <v>811</v>
      </c>
      <c r="O255" s="1" t="n">
        <f aca="false">'Behovsmodell (75p)'!$B$62</f>
        <v>85559</v>
      </c>
      <c r="P255" s="1" t="n">
        <f aca="false">('Behovsmodell (75p)'!$B$62)/12</f>
        <v>7129.91666666667</v>
      </c>
    </row>
    <row r="256" customFormat="false" ht="15" hidden="false" customHeight="true" outlineLevel="0" collapsed="false">
      <c r="A256" s="11" t="s">
        <v>812</v>
      </c>
      <c r="B256" s="11"/>
      <c r="C256" s="11" t="s">
        <v>597</v>
      </c>
      <c r="D256" s="11"/>
      <c r="E256" s="11" t="s">
        <v>356</v>
      </c>
      <c r="F256" s="11"/>
      <c r="G256" s="11"/>
      <c r="H256" s="11"/>
      <c r="I256" s="11"/>
      <c r="J256" s="11" t="s">
        <v>343</v>
      </c>
    </row>
    <row r="257" customFormat="false" ht="15" hidden="false" customHeight="true" outlineLevel="0" collapsed="false">
      <c r="A257" s="11" t="s">
        <v>813</v>
      </c>
      <c r="B257" s="11" t="s">
        <v>536</v>
      </c>
      <c r="C257" s="11" t="s">
        <v>536</v>
      </c>
      <c r="D257" s="11" t="s">
        <v>340</v>
      </c>
      <c r="E257" s="11" t="s">
        <v>341</v>
      </c>
      <c r="F257" s="11"/>
      <c r="G257" s="11"/>
      <c r="H257" s="11" t="s">
        <v>340</v>
      </c>
      <c r="I257" s="11"/>
      <c r="J257" s="11" t="s">
        <v>343</v>
      </c>
    </row>
    <row r="258" customFormat="false" ht="15" hidden="false" customHeight="true" outlineLevel="0" collapsed="false">
      <c r="A258" s="11" t="s">
        <v>814</v>
      </c>
      <c r="B258" s="11"/>
      <c r="C258" s="11" t="s">
        <v>346</v>
      </c>
      <c r="D258" s="11" t="s">
        <v>340</v>
      </c>
      <c r="E258" s="11" t="s">
        <v>341</v>
      </c>
      <c r="F258" s="11"/>
      <c r="G258" s="11"/>
      <c r="H258" s="11" t="s">
        <v>340</v>
      </c>
      <c r="I258" s="11"/>
      <c r="J258" s="11" t="s">
        <v>343</v>
      </c>
    </row>
    <row r="259" customFormat="false" ht="15" hidden="false" customHeight="true" outlineLevel="0" collapsed="false">
      <c r="A259" s="11" t="s">
        <v>815</v>
      </c>
      <c r="B259" s="11" t="s">
        <v>692</v>
      </c>
      <c r="C259" s="11" t="s">
        <v>355</v>
      </c>
      <c r="D259" s="11" t="s">
        <v>347</v>
      </c>
      <c r="E259" s="11" t="s">
        <v>356</v>
      </c>
      <c r="F259" s="11" t="s">
        <v>358</v>
      </c>
      <c r="G259" s="11" t="s">
        <v>31</v>
      </c>
      <c r="H259" s="11"/>
      <c r="I259" s="11"/>
      <c r="J259" s="11" t="s">
        <v>343</v>
      </c>
      <c r="O259" s="1" t="n">
        <f aca="false">'Behovsmodell (75p)'!$B$62</f>
        <v>85559</v>
      </c>
      <c r="P259" s="1" t="n">
        <f aca="false">('Behovsmodell (75p)'!$B$62)/12</f>
        <v>7129.91666666667</v>
      </c>
    </row>
    <row r="260" customFormat="false" ht="15" hidden="false" customHeight="true" outlineLevel="0" collapsed="false">
      <c r="A260" s="11" t="s">
        <v>816</v>
      </c>
      <c r="B260" s="11"/>
      <c r="C260" s="11" t="s">
        <v>245</v>
      </c>
      <c r="D260" s="11"/>
      <c r="E260" s="11" t="s">
        <v>356</v>
      </c>
      <c r="F260" s="11"/>
      <c r="G260" s="11"/>
      <c r="H260" s="11"/>
      <c r="I260" s="11"/>
      <c r="J260" s="11" t="s">
        <v>343</v>
      </c>
    </row>
    <row r="261" customFormat="false" ht="15" hidden="false" customHeight="true" outlineLevel="0" collapsed="false">
      <c r="A261" s="11" t="s">
        <v>817</v>
      </c>
      <c r="B261" s="11" t="s">
        <v>449</v>
      </c>
      <c r="C261" s="11" t="s">
        <v>245</v>
      </c>
      <c r="D261" s="11" t="s">
        <v>818</v>
      </c>
      <c r="E261" s="11"/>
      <c r="F261" s="11" t="s">
        <v>819</v>
      </c>
      <c r="G261" s="11"/>
      <c r="H261" s="11" t="s">
        <v>818</v>
      </c>
      <c r="I261" s="11"/>
      <c r="J261" s="11" t="s">
        <v>343</v>
      </c>
    </row>
    <row r="262" customFormat="false" ht="15" hidden="false" customHeight="true" outlineLevel="0" collapsed="false">
      <c r="A262" s="11" t="s">
        <v>820</v>
      </c>
      <c r="B262" s="11" t="s">
        <v>449</v>
      </c>
      <c r="C262" s="11" t="s">
        <v>245</v>
      </c>
      <c r="D262" s="11" t="s">
        <v>340</v>
      </c>
      <c r="E262" s="11" t="s">
        <v>341</v>
      </c>
      <c r="F262" s="11"/>
      <c r="G262" s="11"/>
      <c r="H262" s="11" t="s">
        <v>340</v>
      </c>
      <c r="I262" s="11"/>
      <c r="J262" s="11" t="s">
        <v>343</v>
      </c>
    </row>
    <row r="263" customFormat="false" ht="15" hidden="false" customHeight="true" outlineLevel="0" collapsed="false">
      <c r="A263" s="11" t="s">
        <v>821</v>
      </c>
      <c r="B263" s="11" t="s">
        <v>449</v>
      </c>
      <c r="C263" s="11" t="s">
        <v>245</v>
      </c>
      <c r="D263" s="11"/>
      <c r="E263" s="11" t="s">
        <v>356</v>
      </c>
      <c r="F263" s="11" t="s">
        <v>353</v>
      </c>
      <c r="G263" s="11"/>
      <c r="H263" s="11"/>
      <c r="I263" s="11"/>
      <c r="J263" s="11" t="s">
        <v>343</v>
      </c>
    </row>
    <row r="264" customFormat="false" ht="15" hidden="false" customHeight="true" outlineLevel="0" collapsed="false">
      <c r="A264" s="11" t="s">
        <v>822</v>
      </c>
      <c r="B264" s="11" t="s">
        <v>666</v>
      </c>
      <c r="C264" s="11" t="s">
        <v>414</v>
      </c>
      <c r="D264" s="11" t="s">
        <v>347</v>
      </c>
      <c r="E264" s="11" t="s">
        <v>356</v>
      </c>
      <c r="F264" s="11" t="s">
        <v>353</v>
      </c>
      <c r="G264" s="11" t="s">
        <v>31</v>
      </c>
      <c r="H264" s="11"/>
      <c r="I264" s="11"/>
      <c r="J264" s="11" t="s">
        <v>343</v>
      </c>
      <c r="O264" s="1" t="n">
        <f aca="false">'Behovsmodell (75p)'!$B$62</f>
        <v>85559</v>
      </c>
      <c r="P264" s="1" t="n">
        <f aca="false">('Behovsmodell (75p)'!$B$62)/12</f>
        <v>7129.91666666667</v>
      </c>
    </row>
    <row r="265" customFormat="false" ht="15" hidden="false" customHeight="true" outlineLevel="0" collapsed="false">
      <c r="A265" s="11" t="s">
        <v>823</v>
      </c>
      <c r="B265" s="11"/>
      <c r="C265" s="11" t="s">
        <v>361</v>
      </c>
      <c r="D265" s="11" t="s">
        <v>347</v>
      </c>
      <c r="E265" s="11" t="s">
        <v>356</v>
      </c>
      <c r="F265" s="11"/>
      <c r="G265" s="11" t="s">
        <v>31</v>
      </c>
      <c r="H265" s="11"/>
      <c r="I265" s="11"/>
      <c r="J265" s="11" t="s">
        <v>343</v>
      </c>
      <c r="O265" s="1" t="n">
        <f aca="false">'Behovsmodell (75p)'!$B$62</f>
        <v>85559</v>
      </c>
      <c r="P265" s="1" t="n">
        <f aca="false">('Behovsmodell (75p)'!$B$62)/12</f>
        <v>7129.91666666667</v>
      </c>
    </row>
    <row r="266" customFormat="false" ht="15" hidden="false" customHeight="true" outlineLevel="0" collapsed="false">
      <c r="A266" s="11" t="s">
        <v>824</v>
      </c>
      <c r="B266" s="11" t="s">
        <v>388</v>
      </c>
      <c r="C266" s="11" t="s">
        <v>388</v>
      </c>
      <c r="D266" s="11" t="s">
        <v>366</v>
      </c>
      <c r="E266" s="11" t="s">
        <v>356</v>
      </c>
      <c r="F266" s="11"/>
      <c r="G266" s="11"/>
      <c r="H266" s="11" t="s">
        <v>366</v>
      </c>
      <c r="I266" s="11"/>
      <c r="J266" s="11" t="s">
        <v>343</v>
      </c>
    </row>
    <row r="267" customFormat="false" ht="15" hidden="false" customHeight="true" outlineLevel="0" collapsed="false">
      <c r="A267" s="11" t="s">
        <v>825</v>
      </c>
      <c r="B267" s="11"/>
      <c r="C267" s="11" t="s">
        <v>245</v>
      </c>
      <c r="D267" s="11" t="s">
        <v>375</v>
      </c>
      <c r="E267" s="11" t="s">
        <v>356</v>
      </c>
      <c r="F267" s="11" t="s">
        <v>358</v>
      </c>
      <c r="G267" s="11" t="s">
        <v>68</v>
      </c>
      <c r="H267" s="11"/>
      <c r="I267" s="11"/>
      <c r="J267" s="11" t="s">
        <v>343</v>
      </c>
      <c r="O267" s="1" t="n">
        <f aca="false">'Behovsmodell (75p)'!$B$66</f>
        <v>206427.05</v>
      </c>
      <c r="P267" s="1" t="n">
        <f aca="false">('Behovsmodell (75p)'!$B$66)/12</f>
        <v>17202.2541666667</v>
      </c>
    </row>
    <row r="268" customFormat="false" ht="15" hidden="false" customHeight="true" outlineLevel="0" collapsed="false">
      <c r="A268" s="11" t="s">
        <v>826</v>
      </c>
      <c r="B268" s="11"/>
      <c r="C268" s="11" t="s">
        <v>339</v>
      </c>
      <c r="D268" s="11" t="s">
        <v>340</v>
      </c>
      <c r="E268" s="11" t="s">
        <v>341</v>
      </c>
      <c r="F268" s="11"/>
      <c r="G268" s="11"/>
      <c r="H268" s="11" t="s">
        <v>340</v>
      </c>
      <c r="I268" s="11"/>
      <c r="J268" s="11" t="s">
        <v>343</v>
      </c>
    </row>
    <row r="269" customFormat="false" ht="15" hidden="false" customHeight="true" outlineLevel="0" collapsed="false">
      <c r="A269" s="11" t="s">
        <v>827</v>
      </c>
      <c r="B269" s="11" t="s">
        <v>828</v>
      </c>
      <c r="C269" s="11" t="s">
        <v>339</v>
      </c>
      <c r="D269" s="11" t="s">
        <v>340</v>
      </c>
      <c r="E269" s="11" t="s">
        <v>341</v>
      </c>
      <c r="F269" s="11" t="s">
        <v>829</v>
      </c>
      <c r="G269" s="11"/>
      <c r="H269" s="11" t="s">
        <v>340</v>
      </c>
      <c r="I269" s="11"/>
      <c r="J269" s="11" t="s">
        <v>343</v>
      </c>
    </row>
    <row r="270" customFormat="false" ht="15" hidden="false" customHeight="true" outlineLevel="0" collapsed="false">
      <c r="A270" s="11" t="s">
        <v>830</v>
      </c>
      <c r="B270" s="11"/>
      <c r="C270" s="11" t="s">
        <v>339</v>
      </c>
      <c r="D270" s="11" t="s">
        <v>347</v>
      </c>
      <c r="E270" s="11" t="s">
        <v>356</v>
      </c>
      <c r="F270" s="11" t="s">
        <v>831</v>
      </c>
      <c r="G270" s="11" t="s">
        <v>31</v>
      </c>
      <c r="H270" s="11"/>
      <c r="I270" s="11"/>
      <c r="J270" s="11" t="s">
        <v>343</v>
      </c>
      <c r="K270" s="1" t="s">
        <v>832</v>
      </c>
      <c r="L270" s="1" t="s">
        <v>833</v>
      </c>
      <c r="N270" s="1" t="s">
        <v>834</v>
      </c>
      <c r="O270" s="1" t="n">
        <f aca="false">'Behovsmodell (75p)'!$B$62</f>
        <v>85559</v>
      </c>
      <c r="P270" s="1" t="n">
        <f aca="false">('Behovsmodell (75p)'!$B$62)/12</f>
        <v>7129.91666666667</v>
      </c>
    </row>
    <row r="271" customFormat="false" ht="15" hidden="false" customHeight="true" outlineLevel="0" collapsed="false">
      <c r="A271" s="11" t="s">
        <v>830</v>
      </c>
      <c r="B271" s="11" t="s">
        <v>429</v>
      </c>
      <c r="C271" s="11" t="s">
        <v>361</v>
      </c>
      <c r="D271" s="11"/>
      <c r="E271" s="11" t="s">
        <v>356</v>
      </c>
      <c r="F271" s="11" t="s">
        <v>831</v>
      </c>
      <c r="G271" s="11"/>
      <c r="H271" s="11"/>
      <c r="I271" s="11"/>
      <c r="J271" s="11" t="s">
        <v>343</v>
      </c>
      <c r="K271" s="1" t="s">
        <v>832</v>
      </c>
      <c r="L271" s="1" t="s">
        <v>833</v>
      </c>
      <c r="N271" s="1" t="s">
        <v>834</v>
      </c>
    </row>
    <row r="272" customFormat="false" ht="15" hidden="false" customHeight="true" outlineLevel="0" collapsed="false">
      <c r="A272" s="11" t="s">
        <v>835</v>
      </c>
      <c r="B272" s="11" t="s">
        <v>429</v>
      </c>
      <c r="C272" s="11" t="s">
        <v>361</v>
      </c>
      <c r="D272" s="11" t="s">
        <v>347</v>
      </c>
      <c r="E272" s="11" t="s">
        <v>356</v>
      </c>
      <c r="F272" s="11" t="s">
        <v>656</v>
      </c>
      <c r="G272" s="11" t="s">
        <v>31</v>
      </c>
      <c r="H272" s="11"/>
      <c r="I272" s="11"/>
      <c r="J272" s="11" t="s">
        <v>343</v>
      </c>
      <c r="O272" s="1" t="n">
        <f aca="false">'Behovsmodell (75p)'!$B$62</f>
        <v>85559</v>
      </c>
      <c r="P272" s="1" t="n">
        <f aca="false">('Behovsmodell (75p)'!$B$62)/12</f>
        <v>7129.91666666667</v>
      </c>
    </row>
    <row r="273" customFormat="false" ht="15" hidden="false" customHeight="true" outlineLevel="0" collapsed="false">
      <c r="A273" s="11" t="s">
        <v>836</v>
      </c>
      <c r="B273" s="11"/>
      <c r="C273" s="11" t="s">
        <v>361</v>
      </c>
      <c r="D273" s="11"/>
      <c r="E273" s="11" t="s">
        <v>356</v>
      </c>
      <c r="F273" s="11"/>
      <c r="G273" s="11"/>
      <c r="H273" s="11"/>
      <c r="I273" s="11"/>
      <c r="J273" s="11" t="s">
        <v>343</v>
      </c>
    </row>
    <row r="274" customFormat="false" ht="15" hidden="false" customHeight="true" outlineLevel="0" collapsed="false">
      <c r="A274" s="11" t="s">
        <v>837</v>
      </c>
      <c r="B274" s="11"/>
      <c r="C274" s="11" t="s">
        <v>355</v>
      </c>
      <c r="D274" s="11" t="s">
        <v>375</v>
      </c>
      <c r="E274" s="11" t="s">
        <v>396</v>
      </c>
      <c r="F274" s="11" t="s">
        <v>358</v>
      </c>
      <c r="G274" s="11" t="s">
        <v>68</v>
      </c>
      <c r="H274" s="11"/>
      <c r="I274" s="11"/>
      <c r="J274" s="11" t="s">
        <v>343</v>
      </c>
      <c r="O274" s="1" t="n">
        <f aca="false">'Behovsmodell (75p)'!$B$66</f>
        <v>206427.05</v>
      </c>
      <c r="P274" s="1" t="n">
        <f aca="false">('Behovsmodell (75p)'!$B$66)/12</f>
        <v>17202.2541666667</v>
      </c>
    </row>
    <row r="275" customFormat="false" ht="15" hidden="false" customHeight="true" outlineLevel="0" collapsed="false">
      <c r="A275" s="11" t="s">
        <v>838</v>
      </c>
      <c r="B275" s="11" t="s">
        <v>408</v>
      </c>
      <c r="C275" s="11" t="s">
        <v>355</v>
      </c>
      <c r="D275" s="11" t="s">
        <v>347</v>
      </c>
      <c r="E275" s="11"/>
      <c r="F275" s="11" t="s">
        <v>416</v>
      </c>
      <c r="G275" s="11" t="s">
        <v>31</v>
      </c>
      <c r="H275" s="11"/>
      <c r="I275" s="11"/>
      <c r="J275" s="11" t="s">
        <v>343</v>
      </c>
      <c r="O275" s="1" t="n">
        <f aca="false">'Behovsmodell (75p)'!$B$62</f>
        <v>85559</v>
      </c>
      <c r="P275" s="1" t="n">
        <f aca="false">('Behovsmodell (75p)'!$B$62)/12</f>
        <v>7129.91666666667</v>
      </c>
    </row>
    <row r="276" customFormat="false" ht="15" hidden="false" customHeight="true" outlineLevel="0" collapsed="false">
      <c r="A276" s="11" t="s">
        <v>839</v>
      </c>
      <c r="B276" s="11"/>
      <c r="C276" s="11" t="s">
        <v>346</v>
      </c>
      <c r="D276" s="11"/>
      <c r="E276" s="11"/>
      <c r="F276" s="11" t="s">
        <v>539</v>
      </c>
      <c r="G276" s="11"/>
      <c r="H276" s="11"/>
      <c r="I276" s="11"/>
      <c r="J276" s="11" t="s">
        <v>343</v>
      </c>
      <c r="K276" s="1" t="s">
        <v>840</v>
      </c>
      <c r="L276" s="1" t="s">
        <v>841</v>
      </c>
      <c r="M276" s="1" t="s">
        <v>842</v>
      </c>
      <c r="N276" s="1" t="s">
        <v>843</v>
      </c>
    </row>
    <row r="277" customFormat="false" ht="15" hidden="false" customHeight="true" outlineLevel="0" collapsed="false">
      <c r="A277" s="11" t="s">
        <v>839</v>
      </c>
      <c r="B277" s="11"/>
      <c r="C277" s="11" t="s">
        <v>457</v>
      </c>
      <c r="D277" s="11"/>
      <c r="E277" s="11"/>
      <c r="F277" s="11" t="s">
        <v>539</v>
      </c>
      <c r="G277" s="11"/>
      <c r="H277" s="11"/>
      <c r="I277" s="11"/>
      <c r="J277" s="11" t="s">
        <v>343</v>
      </c>
      <c r="K277" s="1" t="s">
        <v>840</v>
      </c>
      <c r="L277" s="1" t="s">
        <v>841</v>
      </c>
      <c r="M277" s="1" t="s">
        <v>842</v>
      </c>
      <c r="N277" s="1" t="s">
        <v>843</v>
      </c>
    </row>
    <row r="278" customFormat="false" ht="15" hidden="false" customHeight="true" outlineLevel="0" collapsed="false">
      <c r="A278" s="11" t="s">
        <v>839</v>
      </c>
      <c r="B278" s="11"/>
      <c r="C278" s="11" t="s">
        <v>355</v>
      </c>
      <c r="D278" s="11"/>
      <c r="E278" s="11"/>
      <c r="F278" s="11" t="s">
        <v>539</v>
      </c>
      <c r="G278" s="11"/>
      <c r="H278" s="11"/>
      <c r="I278" s="11"/>
      <c r="J278" s="11" t="s">
        <v>343</v>
      </c>
      <c r="K278" s="1" t="s">
        <v>840</v>
      </c>
      <c r="L278" s="1" t="s">
        <v>841</v>
      </c>
      <c r="M278" s="1" t="s">
        <v>842</v>
      </c>
      <c r="N278" s="1" t="s">
        <v>843</v>
      </c>
    </row>
    <row r="279" customFormat="false" ht="15" hidden="false" customHeight="true" outlineLevel="0" collapsed="false">
      <c r="A279" s="11" t="s">
        <v>844</v>
      </c>
      <c r="B279" s="11" t="s">
        <v>845</v>
      </c>
      <c r="C279" s="11" t="s">
        <v>339</v>
      </c>
      <c r="D279" s="11" t="s">
        <v>340</v>
      </c>
      <c r="E279" s="11" t="s">
        <v>341</v>
      </c>
      <c r="F279" s="11" t="s">
        <v>846</v>
      </c>
      <c r="G279" s="11"/>
      <c r="H279" s="11" t="s">
        <v>340</v>
      </c>
      <c r="I279" s="11"/>
      <c r="J279" s="11" t="s">
        <v>343</v>
      </c>
    </row>
    <row r="280" customFormat="false" ht="15" hidden="false" customHeight="true" outlineLevel="0" collapsed="false">
      <c r="A280" s="11" t="s">
        <v>847</v>
      </c>
      <c r="B280" s="11" t="s">
        <v>848</v>
      </c>
      <c r="C280" s="11" t="s">
        <v>536</v>
      </c>
      <c r="D280" s="11"/>
      <c r="E280" s="11" t="s">
        <v>356</v>
      </c>
      <c r="F280" s="11" t="s">
        <v>358</v>
      </c>
      <c r="G280" s="11"/>
      <c r="H280" s="11"/>
      <c r="I280" s="11"/>
      <c r="J280" s="11" t="s">
        <v>343</v>
      </c>
      <c r="K280" s="1" t="s">
        <v>849</v>
      </c>
      <c r="M280" s="1" t="s">
        <v>850</v>
      </c>
      <c r="N280" s="1" t="s">
        <v>851</v>
      </c>
    </row>
    <row r="281" customFormat="false" ht="15" hidden="false" customHeight="true" outlineLevel="0" collapsed="false">
      <c r="A281" s="11" t="s">
        <v>852</v>
      </c>
      <c r="B281" s="11" t="s">
        <v>536</v>
      </c>
      <c r="C281" s="11" t="s">
        <v>536</v>
      </c>
      <c r="D281" s="11" t="s">
        <v>652</v>
      </c>
      <c r="E281" s="11"/>
      <c r="F281" s="11" t="s">
        <v>358</v>
      </c>
      <c r="G281" s="11" t="s">
        <v>126</v>
      </c>
      <c r="H281" s="11"/>
      <c r="I281" s="11"/>
      <c r="J281" s="11" t="s">
        <v>343</v>
      </c>
      <c r="O281" s="1" t="n">
        <f aca="false">'Behovsmodell (75p)'!$B$75</f>
        <v>11812.25</v>
      </c>
      <c r="P281" s="1" t="n">
        <f aca="false">('Behovsmodell (75p)'!$B$75)/12</f>
        <v>984.354166666667</v>
      </c>
    </row>
    <row r="282" customFormat="false" ht="15" hidden="false" customHeight="true" outlineLevel="0" collapsed="false">
      <c r="A282" s="11" t="s">
        <v>853</v>
      </c>
      <c r="B282" s="11" t="s">
        <v>692</v>
      </c>
      <c r="C282" s="11" t="s">
        <v>355</v>
      </c>
      <c r="D282" s="11"/>
      <c r="E282" s="11" t="s">
        <v>356</v>
      </c>
      <c r="F282" s="11" t="s">
        <v>362</v>
      </c>
      <c r="G282" s="11"/>
      <c r="H282" s="11"/>
      <c r="I282" s="11"/>
      <c r="J282" s="11" t="s">
        <v>343</v>
      </c>
      <c r="K282" s="1" t="s">
        <v>854</v>
      </c>
      <c r="L282" s="1" t="s">
        <v>855</v>
      </c>
      <c r="M282" s="1" t="s">
        <v>856</v>
      </c>
      <c r="N282" s="1" t="s">
        <v>857</v>
      </c>
    </row>
    <row r="283" customFormat="false" ht="15" hidden="false" customHeight="true" outlineLevel="0" collapsed="false">
      <c r="A283" s="11" t="s">
        <v>858</v>
      </c>
      <c r="B283" s="11" t="s">
        <v>338</v>
      </c>
      <c r="C283" s="11" t="s">
        <v>339</v>
      </c>
      <c r="D283" s="11"/>
      <c r="E283" s="11" t="s">
        <v>356</v>
      </c>
      <c r="F283" s="11"/>
      <c r="G283" s="11"/>
      <c r="H283" s="11"/>
      <c r="I283" s="11"/>
      <c r="J283" s="11" t="s">
        <v>343</v>
      </c>
    </row>
    <row r="284" customFormat="false" ht="15" hidden="false" customHeight="true" outlineLevel="0" collapsed="false">
      <c r="A284" s="11" t="s">
        <v>859</v>
      </c>
      <c r="B284" s="11" t="s">
        <v>860</v>
      </c>
      <c r="C284" s="11" t="s">
        <v>381</v>
      </c>
      <c r="D284" s="11" t="s">
        <v>375</v>
      </c>
      <c r="E284" s="11" t="s">
        <v>356</v>
      </c>
      <c r="F284" s="11" t="s">
        <v>358</v>
      </c>
      <c r="G284" s="11" t="s">
        <v>68</v>
      </c>
      <c r="H284" s="11"/>
      <c r="I284" s="11"/>
      <c r="J284" s="11" t="s">
        <v>343</v>
      </c>
      <c r="K284" s="1" t="s">
        <v>861</v>
      </c>
      <c r="L284" s="1" t="s">
        <v>862</v>
      </c>
      <c r="N284" s="1" t="s">
        <v>863</v>
      </c>
      <c r="O284" s="1" t="n">
        <f aca="false">'Behovsmodell (75p)'!$B$66</f>
        <v>206427.05</v>
      </c>
      <c r="P284" s="1" t="n">
        <f aca="false">('Behovsmodell (75p)'!$B$66)/12</f>
        <v>17202.2541666667</v>
      </c>
    </row>
    <row r="285" customFormat="false" ht="15" hidden="false" customHeight="true" outlineLevel="0" collapsed="false">
      <c r="A285" s="11" t="s">
        <v>864</v>
      </c>
      <c r="B285" s="11"/>
      <c r="C285" s="11" t="s">
        <v>355</v>
      </c>
      <c r="D285" s="11"/>
      <c r="E285" s="11" t="s">
        <v>356</v>
      </c>
      <c r="F285" s="11" t="s">
        <v>750</v>
      </c>
      <c r="G285" s="11"/>
      <c r="H285" s="11"/>
      <c r="I285" s="11"/>
      <c r="J285" s="11" t="s">
        <v>343</v>
      </c>
    </row>
    <row r="286" customFormat="false" ht="15" hidden="false" customHeight="true" outlineLevel="0" collapsed="false">
      <c r="A286" s="11" t="s">
        <v>865</v>
      </c>
      <c r="B286" s="11"/>
      <c r="C286" s="11" t="s">
        <v>355</v>
      </c>
      <c r="D286" s="11" t="s">
        <v>347</v>
      </c>
      <c r="E286" s="11" t="s">
        <v>356</v>
      </c>
      <c r="F286" s="11"/>
      <c r="G286" s="11" t="s">
        <v>31</v>
      </c>
      <c r="H286" s="11"/>
      <c r="I286" s="11"/>
      <c r="J286" s="11" t="s">
        <v>343</v>
      </c>
      <c r="O286" s="1" t="n">
        <f aca="false">'Behovsmodell (75p)'!$B$62</f>
        <v>85559</v>
      </c>
      <c r="P286" s="1" t="n">
        <f aca="false">('Behovsmodell (75p)'!$B$62)/12</f>
        <v>7129.91666666667</v>
      </c>
    </row>
    <row r="287" customFormat="false" ht="15" hidden="false" customHeight="true" outlineLevel="0" collapsed="false">
      <c r="A287" s="11" t="s">
        <v>866</v>
      </c>
      <c r="B287" s="11"/>
      <c r="C287" s="11" t="s">
        <v>351</v>
      </c>
      <c r="D287" s="11"/>
      <c r="E287" s="11"/>
      <c r="F287" s="11"/>
      <c r="G287" s="11"/>
      <c r="H287" s="11"/>
      <c r="I287" s="11"/>
      <c r="J287" s="11" t="s">
        <v>343</v>
      </c>
    </row>
    <row r="288" customFormat="false" ht="15" hidden="false" customHeight="true" outlineLevel="0" collapsed="false">
      <c r="A288" s="24" t="s">
        <v>558</v>
      </c>
      <c r="B288" s="24"/>
      <c r="C288" s="24" t="s">
        <v>351</v>
      </c>
      <c r="D288" s="24" t="s">
        <v>347</v>
      </c>
      <c r="E288" s="24" t="s">
        <v>356</v>
      </c>
      <c r="F288" s="24"/>
      <c r="G288" s="24" t="s">
        <v>31</v>
      </c>
      <c r="H288" s="24"/>
      <c r="I288" s="24" t="s">
        <v>560</v>
      </c>
      <c r="J288" s="24" t="s">
        <v>343</v>
      </c>
      <c r="O288" s="1" t="n">
        <f aca="false">'Behovsmodell (75p)'!$B$62</f>
        <v>85559</v>
      </c>
      <c r="P288" s="1" t="n">
        <f aca="false">('Behovsmodell (75p)'!$B$62)/12</f>
        <v>7129.91666666667</v>
      </c>
    </row>
    <row r="289" customFormat="false" ht="15" hidden="false" customHeight="true" outlineLevel="0" collapsed="false">
      <c r="A289" s="11" t="s">
        <v>867</v>
      </c>
      <c r="B289" s="11" t="s">
        <v>338</v>
      </c>
      <c r="C289" s="11" t="s">
        <v>339</v>
      </c>
      <c r="D289" s="11"/>
      <c r="E289" s="11" t="s">
        <v>356</v>
      </c>
      <c r="F289" s="11" t="s">
        <v>353</v>
      </c>
      <c r="G289" s="11"/>
      <c r="H289" s="11"/>
      <c r="I289" s="11"/>
      <c r="J289" s="11" t="s">
        <v>343</v>
      </c>
    </row>
    <row r="290" customFormat="false" ht="15" hidden="false" customHeight="true" outlineLevel="0" collapsed="false">
      <c r="A290" s="11" t="s">
        <v>868</v>
      </c>
      <c r="B290" s="11"/>
      <c r="C290" s="11" t="s">
        <v>245</v>
      </c>
      <c r="D290" s="11"/>
      <c r="E290" s="11"/>
      <c r="F290" s="11"/>
      <c r="G290" s="11"/>
      <c r="H290" s="11"/>
      <c r="I290" s="11"/>
      <c r="J290" s="11" t="s">
        <v>343</v>
      </c>
    </row>
    <row r="291" customFormat="false" ht="15" hidden="false" customHeight="true" outlineLevel="0" collapsed="false">
      <c r="A291" s="24" t="s">
        <v>558</v>
      </c>
      <c r="B291" s="24"/>
      <c r="C291" s="24" t="s">
        <v>245</v>
      </c>
      <c r="D291" s="24" t="s">
        <v>375</v>
      </c>
      <c r="E291" s="24" t="s">
        <v>356</v>
      </c>
      <c r="F291" s="24"/>
      <c r="G291" s="24" t="s">
        <v>68</v>
      </c>
      <c r="H291" s="24"/>
      <c r="I291" s="24" t="s">
        <v>560</v>
      </c>
      <c r="J291" s="24" t="s">
        <v>343</v>
      </c>
      <c r="O291" s="1" t="n">
        <f aca="false">'Behovsmodell (75p)'!$B$66</f>
        <v>206427.05</v>
      </c>
      <c r="P291" s="1" t="n">
        <f aca="false">('Behovsmodell (75p)'!$B$66)/12</f>
        <v>17202.2541666667</v>
      </c>
    </row>
    <row r="292" customFormat="false" ht="15" hidden="false" customHeight="true" outlineLevel="0" collapsed="false">
      <c r="A292" s="11" t="s">
        <v>869</v>
      </c>
      <c r="B292" s="11" t="s">
        <v>870</v>
      </c>
      <c r="C292" s="11" t="s">
        <v>388</v>
      </c>
      <c r="D292" s="11"/>
      <c r="E292" s="11" t="s">
        <v>356</v>
      </c>
      <c r="F292" s="11"/>
      <c r="G292" s="11"/>
      <c r="H292" s="11"/>
      <c r="I292" s="11"/>
      <c r="J292" s="11" t="s">
        <v>343</v>
      </c>
    </row>
    <row r="293" customFormat="false" ht="15" hidden="false" customHeight="true" outlineLevel="0" collapsed="false">
      <c r="A293" s="11" t="s">
        <v>871</v>
      </c>
      <c r="B293" s="11" t="s">
        <v>695</v>
      </c>
      <c r="C293" s="11" t="s">
        <v>351</v>
      </c>
      <c r="D293" s="11"/>
      <c r="E293" s="11" t="s">
        <v>356</v>
      </c>
      <c r="F293" s="11" t="s">
        <v>358</v>
      </c>
      <c r="G293" s="11"/>
      <c r="H293" s="11"/>
      <c r="I293" s="11"/>
      <c r="J293" s="11" t="s">
        <v>343</v>
      </c>
      <c r="K293" s="1" t="s">
        <v>872</v>
      </c>
      <c r="L293" s="1" t="s">
        <v>873</v>
      </c>
      <c r="M293" s="1" t="s">
        <v>874</v>
      </c>
      <c r="N293" s="1" t="s">
        <v>875</v>
      </c>
    </row>
    <row r="294" customFormat="false" ht="15" hidden="false" customHeight="true" outlineLevel="0" collapsed="false">
      <c r="A294" s="11" t="s">
        <v>876</v>
      </c>
      <c r="B294" s="11"/>
      <c r="C294" s="11" t="s">
        <v>339</v>
      </c>
      <c r="D294" s="11"/>
      <c r="E294" s="11" t="s">
        <v>356</v>
      </c>
      <c r="F294" s="11" t="s">
        <v>877</v>
      </c>
      <c r="G294" s="11"/>
      <c r="H294" s="11"/>
      <c r="I294" s="11"/>
      <c r="J294" s="11" t="s">
        <v>343</v>
      </c>
    </row>
    <row r="295" customFormat="false" ht="15" hidden="false" customHeight="true" outlineLevel="0" collapsed="false">
      <c r="A295" s="11" t="s">
        <v>878</v>
      </c>
      <c r="B295" s="11"/>
      <c r="C295" s="11" t="s">
        <v>355</v>
      </c>
      <c r="D295" s="11" t="s">
        <v>347</v>
      </c>
      <c r="E295" s="11"/>
      <c r="F295" s="11" t="s">
        <v>447</v>
      </c>
      <c r="G295" s="11" t="s">
        <v>31</v>
      </c>
      <c r="H295" s="11"/>
      <c r="I295" s="11"/>
      <c r="J295" s="11" t="s">
        <v>343</v>
      </c>
      <c r="O295" s="1" t="n">
        <f aca="false">'Behovsmodell (75p)'!$B$62</f>
        <v>85559</v>
      </c>
      <c r="P295" s="1" t="n">
        <f aca="false">('Behovsmodell (75p)'!$B$62)/12</f>
        <v>7129.91666666667</v>
      </c>
    </row>
    <row r="296" customFormat="false" ht="15" hidden="false" customHeight="true" outlineLevel="0" collapsed="false">
      <c r="A296" s="11" t="s">
        <v>226</v>
      </c>
      <c r="B296" s="11"/>
      <c r="C296" s="11" t="s">
        <v>355</v>
      </c>
      <c r="D296" s="11"/>
      <c r="E296" s="11" t="s">
        <v>356</v>
      </c>
      <c r="F296" s="11" t="s">
        <v>516</v>
      </c>
      <c r="G296" s="11"/>
      <c r="H296" s="11"/>
      <c r="I296" s="11"/>
      <c r="J296" s="11" t="s">
        <v>343</v>
      </c>
      <c r="K296" s="1" t="s">
        <v>228</v>
      </c>
      <c r="L296" s="1" t="s">
        <v>879</v>
      </c>
      <c r="M296" s="1" t="s">
        <v>880</v>
      </c>
      <c r="N296" s="1" t="s">
        <v>881</v>
      </c>
    </row>
    <row r="297" customFormat="false" ht="15" hidden="false" customHeight="true" outlineLevel="0" collapsed="false">
      <c r="A297" s="11" t="s">
        <v>882</v>
      </c>
      <c r="B297" s="11"/>
      <c r="C297" s="11" t="s">
        <v>355</v>
      </c>
      <c r="D297" s="11" t="s">
        <v>347</v>
      </c>
      <c r="E297" s="11"/>
      <c r="F297" s="11" t="s">
        <v>353</v>
      </c>
      <c r="G297" s="11" t="s">
        <v>31</v>
      </c>
      <c r="H297" s="11"/>
      <c r="I297" s="11"/>
      <c r="J297" s="11" t="s">
        <v>343</v>
      </c>
      <c r="O297" s="1" t="n">
        <f aca="false">'Behovsmodell (75p)'!$B$62</f>
        <v>85559</v>
      </c>
      <c r="P297" s="1" t="n">
        <f aca="false">('Behovsmodell (75p)'!$B$62)/12</f>
        <v>7129.91666666667</v>
      </c>
    </row>
    <row r="298" customFormat="false" ht="15" hidden="false" customHeight="true" outlineLevel="0" collapsed="false">
      <c r="A298" s="11" t="s">
        <v>883</v>
      </c>
      <c r="B298" s="11"/>
      <c r="C298" s="11" t="s">
        <v>339</v>
      </c>
      <c r="D298" s="11" t="s">
        <v>347</v>
      </c>
      <c r="E298" s="11"/>
      <c r="F298" s="11"/>
      <c r="G298" s="11" t="s">
        <v>31</v>
      </c>
      <c r="H298" s="11"/>
      <c r="I298" s="11"/>
      <c r="J298" s="11" t="s">
        <v>343</v>
      </c>
      <c r="O298" s="1" t="n">
        <f aca="false">'Behovsmodell (75p)'!$B$62</f>
        <v>85559</v>
      </c>
      <c r="P298" s="1" t="n">
        <f aca="false">('Behovsmodell (75p)'!$B$62)/12</f>
        <v>7129.91666666667</v>
      </c>
    </row>
    <row r="299" customFormat="false" ht="15" hidden="false" customHeight="true" outlineLevel="0" collapsed="false">
      <c r="A299" s="11" t="s">
        <v>884</v>
      </c>
      <c r="B299" s="11"/>
      <c r="C299" s="11" t="s">
        <v>339</v>
      </c>
      <c r="D299" s="11" t="s">
        <v>395</v>
      </c>
      <c r="E299" s="11" t="s">
        <v>396</v>
      </c>
      <c r="F299" s="11" t="s">
        <v>358</v>
      </c>
      <c r="G299" s="11" t="s">
        <v>129</v>
      </c>
      <c r="H299" s="11"/>
      <c r="I299" s="11"/>
      <c r="J299" s="11" t="s">
        <v>343</v>
      </c>
      <c r="O299" s="1" t="n">
        <f aca="false">'Behovsmodell (75p)'!$B$76</f>
        <v>111099</v>
      </c>
      <c r="P299" s="1" t="n">
        <f aca="false">('Behovsmodell (75p)'!$B$76)/12</f>
        <v>9258.25</v>
      </c>
    </row>
    <row r="300" customFormat="false" ht="15" hidden="false" customHeight="true" outlineLevel="0" collapsed="false">
      <c r="A300" s="11" t="s">
        <v>885</v>
      </c>
      <c r="B300" s="11"/>
      <c r="C300" s="11" t="s">
        <v>361</v>
      </c>
      <c r="D300" s="11"/>
      <c r="E300" s="11" t="s">
        <v>356</v>
      </c>
      <c r="F300" s="11" t="s">
        <v>539</v>
      </c>
      <c r="G300" s="11"/>
      <c r="H300" s="11"/>
      <c r="I300" s="11"/>
      <c r="J300" s="11" t="s">
        <v>343</v>
      </c>
      <c r="K300" s="1" t="s">
        <v>886</v>
      </c>
      <c r="L300" s="1" t="s">
        <v>887</v>
      </c>
      <c r="M300" s="1" t="s">
        <v>888</v>
      </c>
      <c r="N300" s="1" t="s">
        <v>889</v>
      </c>
    </row>
    <row r="301" customFormat="false" ht="15" hidden="false" customHeight="true" outlineLevel="0" collapsed="false">
      <c r="A301" s="11" t="s">
        <v>890</v>
      </c>
      <c r="B301" s="11"/>
      <c r="C301" s="11" t="s">
        <v>339</v>
      </c>
      <c r="D301" s="11" t="s">
        <v>375</v>
      </c>
      <c r="E301" s="11" t="s">
        <v>356</v>
      </c>
      <c r="F301" s="11" t="s">
        <v>358</v>
      </c>
      <c r="G301" s="11" t="s">
        <v>68</v>
      </c>
      <c r="H301" s="11"/>
      <c r="I301" s="11"/>
      <c r="J301" s="11" t="s">
        <v>343</v>
      </c>
      <c r="O301" s="1" t="n">
        <f aca="false">'Behovsmodell (75p)'!$B$66</f>
        <v>206427.05</v>
      </c>
      <c r="P301" s="1" t="n">
        <f aca="false">('Behovsmodell (75p)'!$B$66)/12</f>
        <v>17202.2541666667</v>
      </c>
    </row>
    <row r="302" customFormat="false" ht="15" hidden="false" customHeight="true" outlineLevel="0" collapsed="false">
      <c r="A302" s="11" t="s">
        <v>891</v>
      </c>
      <c r="B302" s="11" t="s">
        <v>892</v>
      </c>
      <c r="C302" s="11" t="s">
        <v>536</v>
      </c>
      <c r="D302" s="11" t="s">
        <v>893</v>
      </c>
      <c r="E302" s="11" t="s">
        <v>356</v>
      </c>
      <c r="F302" s="11" t="s">
        <v>472</v>
      </c>
      <c r="G302" s="11" t="s">
        <v>894</v>
      </c>
      <c r="H302" s="11"/>
      <c r="I302" s="11"/>
      <c r="J302" s="11" t="s">
        <v>343</v>
      </c>
      <c r="K302" s="1" t="s">
        <v>895</v>
      </c>
      <c r="L302" s="1" t="s">
        <v>896</v>
      </c>
      <c r="N302" s="1" t="s">
        <v>897</v>
      </c>
      <c r="O302" s="1" t="n">
        <f aca="false">'Behovsmodell (75p)'!$B$66+'Behovsmodell (75p)'!$B$62</f>
        <v>291986.05</v>
      </c>
      <c r="P302" s="1" t="n">
        <f aca="false">('Behovsmodell (75p)'!$B$66+'Behovsmodell (75p)'!$B$62)/12</f>
        <v>24332.1708333333</v>
      </c>
    </row>
    <row r="303" customFormat="false" ht="15" hidden="false" customHeight="true" outlineLevel="0" collapsed="false">
      <c r="A303" s="24" t="s">
        <v>898</v>
      </c>
      <c r="B303" s="24"/>
      <c r="C303" s="24" t="s">
        <v>346</v>
      </c>
      <c r="D303" s="24" t="s">
        <v>375</v>
      </c>
      <c r="E303" s="24" t="s">
        <v>356</v>
      </c>
      <c r="F303" s="24" t="s">
        <v>358</v>
      </c>
      <c r="G303" s="24" t="s">
        <v>68</v>
      </c>
      <c r="H303" s="24"/>
      <c r="I303" s="24" t="s">
        <v>384</v>
      </c>
      <c r="J303" s="24" t="s">
        <v>343</v>
      </c>
      <c r="O303" s="1" t="n">
        <f aca="false">'Behovsmodell (75p)'!$B$66</f>
        <v>206427.05</v>
      </c>
      <c r="P303" s="1" t="n">
        <f aca="false">('Behovsmodell (75p)'!$B$66)/12</f>
        <v>17202.2541666667</v>
      </c>
    </row>
    <row r="304" customFormat="false" ht="15" hidden="false" customHeight="true" outlineLevel="0" collapsed="false">
      <c r="A304" s="24" t="s">
        <v>898</v>
      </c>
      <c r="B304" s="24"/>
      <c r="C304" s="24" t="s">
        <v>457</v>
      </c>
      <c r="D304" s="24" t="s">
        <v>375</v>
      </c>
      <c r="E304" s="24" t="s">
        <v>356</v>
      </c>
      <c r="F304" s="24" t="s">
        <v>358</v>
      </c>
      <c r="G304" s="24" t="s">
        <v>68</v>
      </c>
      <c r="H304" s="24"/>
      <c r="I304" s="24" t="s">
        <v>384</v>
      </c>
      <c r="J304" s="24" t="s">
        <v>343</v>
      </c>
      <c r="O304" s="1" t="n">
        <f aca="false">'Behovsmodell (75p)'!$B$66</f>
        <v>206427.05</v>
      </c>
      <c r="P304" s="1" t="n">
        <f aca="false">('Behovsmodell (75p)'!$B$66)/12</f>
        <v>17202.2541666667</v>
      </c>
    </row>
    <row r="305" customFormat="false" ht="15" hidden="false" customHeight="true" outlineLevel="0" collapsed="false">
      <c r="A305" s="11" t="s">
        <v>899</v>
      </c>
      <c r="B305" s="11"/>
      <c r="C305" s="11" t="s">
        <v>351</v>
      </c>
      <c r="D305" s="11"/>
      <c r="E305" s="11" t="s">
        <v>356</v>
      </c>
      <c r="F305" s="11" t="s">
        <v>362</v>
      </c>
      <c r="G305" s="11"/>
      <c r="H305" s="11"/>
      <c r="I305" s="11"/>
      <c r="J305" s="11" t="s">
        <v>343</v>
      </c>
    </row>
    <row r="306" customFormat="false" ht="15" hidden="false" customHeight="true" outlineLevel="0" collapsed="false">
      <c r="A306" s="11" t="s">
        <v>900</v>
      </c>
      <c r="B306" s="11" t="s">
        <v>901</v>
      </c>
      <c r="C306" s="11" t="s">
        <v>339</v>
      </c>
      <c r="D306" s="11"/>
      <c r="E306" s="11" t="s">
        <v>356</v>
      </c>
      <c r="F306" s="11" t="s">
        <v>358</v>
      </c>
      <c r="G306" s="11"/>
      <c r="H306" s="11"/>
      <c r="I306" s="11"/>
      <c r="J306" s="11" t="s">
        <v>343</v>
      </c>
    </row>
    <row r="307" customFormat="false" ht="15" hidden="false" customHeight="true" outlineLevel="0" collapsed="false">
      <c r="A307" s="11" t="s">
        <v>902</v>
      </c>
      <c r="B307" s="11"/>
      <c r="C307" s="11" t="s">
        <v>339</v>
      </c>
      <c r="D307" s="11"/>
      <c r="E307" s="11" t="s">
        <v>356</v>
      </c>
      <c r="F307" s="11" t="s">
        <v>358</v>
      </c>
      <c r="G307" s="11"/>
      <c r="H307" s="11"/>
      <c r="I307" s="11"/>
      <c r="J307" s="11" t="s">
        <v>343</v>
      </c>
    </row>
    <row r="308" customFormat="false" ht="15" hidden="false" customHeight="true" outlineLevel="0" collapsed="false">
      <c r="A308" s="11" t="s">
        <v>903</v>
      </c>
      <c r="B308" s="11"/>
      <c r="C308" s="11" t="s">
        <v>346</v>
      </c>
      <c r="D308" s="11"/>
      <c r="E308" s="11" t="s">
        <v>356</v>
      </c>
      <c r="F308" s="11" t="s">
        <v>353</v>
      </c>
      <c r="G308" s="11"/>
      <c r="H308" s="11"/>
      <c r="I308" s="11"/>
      <c r="J308" s="11" t="s">
        <v>343</v>
      </c>
      <c r="K308" s="1" t="s">
        <v>904</v>
      </c>
      <c r="N308" s="1" t="s">
        <v>905</v>
      </c>
    </row>
    <row r="309" customFormat="false" ht="15" hidden="false" customHeight="true" outlineLevel="0" collapsed="false">
      <c r="A309" s="11" t="s">
        <v>906</v>
      </c>
      <c r="B309" s="11"/>
      <c r="C309" s="11" t="s">
        <v>597</v>
      </c>
      <c r="D309" s="11" t="s">
        <v>652</v>
      </c>
      <c r="E309" s="11" t="s">
        <v>356</v>
      </c>
      <c r="F309" s="11" t="s">
        <v>792</v>
      </c>
      <c r="G309" s="11" t="s">
        <v>126</v>
      </c>
      <c r="H309" s="11"/>
      <c r="I309" s="11"/>
      <c r="J309" s="11" t="s">
        <v>343</v>
      </c>
      <c r="O309" s="1" t="n">
        <f aca="false">'Behovsmodell (75p)'!$B$75</f>
        <v>11812.25</v>
      </c>
      <c r="P309" s="1" t="n">
        <f aca="false">('Behovsmodell (75p)'!$B$75)/12</f>
        <v>984.354166666667</v>
      </c>
    </row>
    <row r="310" customFormat="false" ht="15" hidden="false" customHeight="true" outlineLevel="0" collapsed="false">
      <c r="A310" s="11" t="s">
        <v>907</v>
      </c>
      <c r="B310" s="11" t="s">
        <v>908</v>
      </c>
      <c r="C310" s="11" t="s">
        <v>381</v>
      </c>
      <c r="D310" s="11"/>
      <c r="E310" s="11" t="s">
        <v>356</v>
      </c>
      <c r="F310" s="11" t="s">
        <v>362</v>
      </c>
      <c r="G310" s="11"/>
      <c r="H310" s="11"/>
      <c r="I310" s="11"/>
      <c r="J310" s="11" t="s">
        <v>343</v>
      </c>
      <c r="N310" s="1" t="s">
        <v>909</v>
      </c>
    </row>
    <row r="311" customFormat="false" ht="15" hidden="false" customHeight="true" outlineLevel="0" collapsed="false">
      <c r="A311" s="11" t="s">
        <v>910</v>
      </c>
      <c r="B311" s="11"/>
      <c r="C311" s="11" t="s">
        <v>361</v>
      </c>
      <c r="D311" s="11"/>
      <c r="E311" s="11" t="s">
        <v>356</v>
      </c>
      <c r="F311" s="11" t="s">
        <v>358</v>
      </c>
      <c r="G311" s="11"/>
      <c r="H311" s="11"/>
      <c r="I311" s="11"/>
      <c r="J311" s="11" t="s">
        <v>343</v>
      </c>
    </row>
    <row r="312" customFormat="false" ht="15" hidden="false" customHeight="true" outlineLevel="0" collapsed="false">
      <c r="A312" s="11" t="s">
        <v>911</v>
      </c>
      <c r="B312" s="11" t="s">
        <v>528</v>
      </c>
      <c r="C312" s="11" t="s">
        <v>355</v>
      </c>
      <c r="D312" s="11"/>
      <c r="E312" s="11" t="s">
        <v>356</v>
      </c>
      <c r="F312" s="11" t="s">
        <v>358</v>
      </c>
      <c r="G312" s="11"/>
      <c r="H312" s="11"/>
      <c r="I312" s="11"/>
      <c r="J312" s="11" t="s">
        <v>343</v>
      </c>
    </row>
    <row r="313" customFormat="false" ht="15" hidden="false" customHeight="true" outlineLevel="0" collapsed="false">
      <c r="A313" s="11" t="s">
        <v>912</v>
      </c>
      <c r="B313" s="11" t="s">
        <v>671</v>
      </c>
      <c r="C313" s="11" t="s">
        <v>355</v>
      </c>
      <c r="D313" s="11" t="s">
        <v>347</v>
      </c>
      <c r="E313" s="11" t="s">
        <v>356</v>
      </c>
      <c r="F313" s="11" t="s">
        <v>913</v>
      </c>
      <c r="G313" s="11" t="s">
        <v>31</v>
      </c>
      <c r="H313" s="11"/>
      <c r="I313" s="11"/>
      <c r="J313" s="11" t="s">
        <v>343</v>
      </c>
      <c r="O313" s="1" t="n">
        <f aca="false">'Behovsmodell (75p)'!$B$62</f>
        <v>85559</v>
      </c>
      <c r="P313" s="1" t="n">
        <f aca="false">('Behovsmodell (75p)'!$B$62)/12</f>
        <v>7129.91666666667</v>
      </c>
    </row>
    <row r="314" customFormat="false" ht="15" hidden="false" customHeight="true" outlineLevel="0" collapsed="false">
      <c r="A314" s="11" t="s">
        <v>914</v>
      </c>
      <c r="B314" s="11" t="s">
        <v>481</v>
      </c>
      <c r="C314" s="11" t="s">
        <v>457</v>
      </c>
      <c r="D314" s="11"/>
      <c r="E314" s="11" t="s">
        <v>356</v>
      </c>
      <c r="F314" s="11" t="s">
        <v>915</v>
      </c>
      <c r="G314" s="11"/>
      <c r="H314" s="11"/>
      <c r="I314" s="11"/>
      <c r="J314" s="11" t="s">
        <v>343</v>
      </c>
    </row>
    <row r="315" customFormat="false" ht="15" hidden="false" customHeight="true" outlineLevel="0" collapsed="false">
      <c r="A315" s="11" t="s">
        <v>916</v>
      </c>
      <c r="B315" s="11" t="s">
        <v>433</v>
      </c>
      <c r="C315" s="11" t="s">
        <v>346</v>
      </c>
      <c r="D315" s="11"/>
      <c r="E315" s="11"/>
      <c r="F315" s="11" t="s">
        <v>917</v>
      </c>
      <c r="G315" s="11"/>
      <c r="H315" s="11"/>
      <c r="I315" s="11"/>
      <c r="J315" s="11" t="s">
        <v>343</v>
      </c>
    </row>
    <row r="316" customFormat="false" ht="15" hidden="false" customHeight="true" outlineLevel="0" collapsed="false">
      <c r="A316" s="11" t="s">
        <v>918</v>
      </c>
      <c r="B316" s="11"/>
      <c r="C316" s="11" t="s">
        <v>355</v>
      </c>
      <c r="D316" s="11" t="s">
        <v>919</v>
      </c>
      <c r="E316" s="11"/>
      <c r="F316" s="11"/>
      <c r="G316" s="11" t="s">
        <v>920</v>
      </c>
      <c r="H316" s="11"/>
      <c r="I316" s="11"/>
      <c r="J316" s="11" t="s">
        <v>343</v>
      </c>
      <c r="O316" s="1" t="n">
        <f aca="false">'Behovsmodell (75p)'!$B$62+'Behovsmodell (75p)'!$B$67</f>
        <v>143790.2</v>
      </c>
      <c r="P316" s="1" t="n">
        <f aca="false">('Behovsmodell (75p)'!$B$62+'Behovsmodell (75p)'!$B$67)/12</f>
        <v>11982.5166666667</v>
      </c>
    </row>
    <row r="317" customFormat="false" ht="15" hidden="false" customHeight="true" outlineLevel="0" collapsed="false">
      <c r="A317" s="11" t="s">
        <v>921</v>
      </c>
      <c r="B317" s="11" t="s">
        <v>663</v>
      </c>
      <c r="C317" s="11" t="s">
        <v>414</v>
      </c>
      <c r="D317" s="11"/>
      <c r="E317" s="11" t="s">
        <v>396</v>
      </c>
      <c r="F317" s="11"/>
      <c r="G317" s="11"/>
      <c r="H317" s="11"/>
      <c r="I317" s="11"/>
      <c r="J317" s="11" t="s">
        <v>343</v>
      </c>
    </row>
    <row r="318" customFormat="false" ht="15" hidden="false" customHeight="true" outlineLevel="0" collapsed="false">
      <c r="A318" s="11" t="s">
        <v>922</v>
      </c>
      <c r="B318" s="11" t="s">
        <v>663</v>
      </c>
      <c r="C318" s="11" t="s">
        <v>414</v>
      </c>
      <c r="D318" s="11"/>
      <c r="E318" s="11" t="s">
        <v>396</v>
      </c>
      <c r="F318" s="11"/>
      <c r="G318" s="11"/>
      <c r="H318" s="11"/>
      <c r="I318" s="11"/>
      <c r="J318" s="11" t="s">
        <v>343</v>
      </c>
    </row>
    <row r="319" customFormat="false" ht="15" hidden="false" customHeight="true" outlineLevel="0" collapsed="false">
      <c r="A319" s="11" t="s">
        <v>923</v>
      </c>
      <c r="B319" s="11" t="s">
        <v>924</v>
      </c>
      <c r="C319" s="11" t="s">
        <v>339</v>
      </c>
      <c r="D319" s="11"/>
      <c r="E319" s="11"/>
      <c r="F319" s="11"/>
      <c r="G319" s="11"/>
      <c r="H319" s="11"/>
      <c r="I319" s="11"/>
      <c r="J319" s="11" t="s">
        <v>343</v>
      </c>
    </row>
    <row r="320" customFormat="false" ht="15" hidden="false" customHeight="true" outlineLevel="0" collapsed="false">
      <c r="A320" s="11" t="s">
        <v>925</v>
      </c>
      <c r="B320" s="11" t="s">
        <v>926</v>
      </c>
      <c r="C320" s="11" t="s">
        <v>536</v>
      </c>
      <c r="D320" s="11" t="s">
        <v>352</v>
      </c>
      <c r="E320" s="11" t="s">
        <v>356</v>
      </c>
      <c r="F320" s="11" t="s">
        <v>915</v>
      </c>
      <c r="G320" s="11" t="s">
        <v>84</v>
      </c>
      <c r="H320" s="11"/>
      <c r="I320" s="11"/>
      <c r="J320" s="11" t="s">
        <v>343</v>
      </c>
      <c r="O320" s="1" t="n">
        <f aca="false">'Behovsmodell (75p)'!$B$68</f>
        <v>330040.65</v>
      </c>
      <c r="P320" s="1" t="n">
        <f aca="false">('Behovsmodell (75p)'!$B$68)/12</f>
        <v>27503.3875</v>
      </c>
    </row>
    <row r="321" customFormat="false" ht="15" hidden="false" customHeight="true" outlineLevel="0" collapsed="false">
      <c r="A321" s="11" t="s">
        <v>927</v>
      </c>
      <c r="B321" s="11" t="s">
        <v>449</v>
      </c>
      <c r="C321" s="11" t="s">
        <v>245</v>
      </c>
      <c r="D321" s="11"/>
      <c r="E321" s="11" t="s">
        <v>356</v>
      </c>
      <c r="F321" s="11" t="s">
        <v>656</v>
      </c>
      <c r="G321" s="11"/>
      <c r="H321" s="11"/>
      <c r="I321" s="11"/>
      <c r="J321" s="11" t="s">
        <v>343</v>
      </c>
    </row>
    <row r="322" customFormat="false" ht="15" hidden="false" customHeight="true" outlineLevel="0" collapsed="false">
      <c r="A322" s="11" t="s">
        <v>928</v>
      </c>
      <c r="B322" s="11" t="s">
        <v>240</v>
      </c>
      <c r="C322" s="11" t="s">
        <v>536</v>
      </c>
      <c r="D322" s="11"/>
      <c r="E322" s="11" t="s">
        <v>356</v>
      </c>
      <c r="F322" s="11"/>
      <c r="G322" s="11"/>
      <c r="H322" s="11"/>
      <c r="I322" s="11"/>
      <c r="J322" s="11" t="s">
        <v>343</v>
      </c>
    </row>
    <row r="323" customFormat="false" ht="15" hidden="false" customHeight="true" outlineLevel="0" collapsed="false">
      <c r="A323" s="11" t="s">
        <v>929</v>
      </c>
      <c r="B323" s="11"/>
      <c r="C323" s="11" t="s">
        <v>355</v>
      </c>
      <c r="D323" s="11"/>
      <c r="E323" s="11" t="s">
        <v>396</v>
      </c>
      <c r="F323" s="11" t="s">
        <v>593</v>
      </c>
      <c r="G323" s="11"/>
      <c r="H323" s="11"/>
      <c r="I323" s="11"/>
      <c r="J323" s="11" t="s">
        <v>343</v>
      </c>
    </row>
    <row r="324" customFormat="false" ht="15" hidden="false" customHeight="true" outlineLevel="0" collapsed="false">
      <c r="A324" s="11" t="s">
        <v>930</v>
      </c>
      <c r="B324" s="11"/>
      <c r="C324" s="11" t="s">
        <v>339</v>
      </c>
      <c r="D324" s="11" t="s">
        <v>347</v>
      </c>
      <c r="E324" s="11"/>
      <c r="F324" s="11" t="s">
        <v>539</v>
      </c>
      <c r="G324" s="11" t="s">
        <v>31</v>
      </c>
      <c r="H324" s="11"/>
      <c r="I324" s="11"/>
      <c r="J324" s="11" t="s">
        <v>343</v>
      </c>
      <c r="O324" s="1" t="n">
        <f aca="false">'Behovsmodell (75p)'!$B$62</f>
        <v>85559</v>
      </c>
      <c r="P324" s="1" t="n">
        <f aca="false">('Behovsmodell (75p)'!$B$62)/12</f>
        <v>7129.91666666667</v>
      </c>
    </row>
    <row r="325" customFormat="false" ht="15" hidden="false" customHeight="true" outlineLevel="0" collapsed="false">
      <c r="A325" s="11" t="s">
        <v>931</v>
      </c>
      <c r="B325" s="11" t="s">
        <v>828</v>
      </c>
      <c r="C325" s="11" t="s">
        <v>339</v>
      </c>
      <c r="D325" s="11" t="s">
        <v>352</v>
      </c>
      <c r="E325" s="11" t="s">
        <v>356</v>
      </c>
      <c r="F325" s="11" t="s">
        <v>656</v>
      </c>
      <c r="G325" s="11" t="s">
        <v>84</v>
      </c>
      <c r="H325" s="11"/>
      <c r="I325" s="11"/>
      <c r="J325" s="11" t="s">
        <v>343</v>
      </c>
      <c r="K325" s="1" t="s">
        <v>932</v>
      </c>
      <c r="L325" s="1" t="s">
        <v>933</v>
      </c>
      <c r="N325" s="1" t="s">
        <v>934</v>
      </c>
      <c r="O325" s="1" t="n">
        <f aca="false">'Behovsmodell (75p)'!$B$68</f>
        <v>330040.65</v>
      </c>
      <c r="P325" s="1" t="n">
        <f aca="false">('Behovsmodell (75p)'!$B$68)/12</f>
        <v>27503.3875</v>
      </c>
    </row>
    <row r="326" customFormat="false" ht="15" hidden="false" customHeight="true" outlineLevel="0" collapsed="false">
      <c r="A326" s="11" t="s">
        <v>935</v>
      </c>
      <c r="B326" s="11" t="s">
        <v>936</v>
      </c>
      <c r="C326" s="11" t="s">
        <v>457</v>
      </c>
      <c r="D326" s="11"/>
      <c r="E326" s="11" t="s">
        <v>396</v>
      </c>
      <c r="F326" s="11" t="s">
        <v>937</v>
      </c>
      <c r="G326" s="11"/>
      <c r="H326" s="11"/>
      <c r="I326" s="11"/>
      <c r="J326" s="11" t="s">
        <v>343</v>
      </c>
    </row>
    <row r="327" customFormat="false" ht="15" hidden="false" customHeight="true" outlineLevel="0" collapsed="false">
      <c r="A327" s="11" t="s">
        <v>938</v>
      </c>
      <c r="B327" s="11"/>
      <c r="C327" s="11" t="s">
        <v>339</v>
      </c>
      <c r="D327" s="11"/>
      <c r="E327" s="11" t="s">
        <v>356</v>
      </c>
      <c r="F327" s="11" t="s">
        <v>353</v>
      </c>
      <c r="G327" s="11"/>
      <c r="H327" s="11"/>
      <c r="I327" s="11"/>
      <c r="J327" s="11" t="s">
        <v>343</v>
      </c>
      <c r="K327" s="1" t="s">
        <v>939</v>
      </c>
      <c r="L327" s="1" t="s">
        <v>940</v>
      </c>
      <c r="N327" s="1" t="s">
        <v>941</v>
      </c>
    </row>
    <row r="328" customFormat="false" ht="15" hidden="false" customHeight="true" outlineLevel="0" collapsed="false">
      <c r="A328" s="11" t="s">
        <v>942</v>
      </c>
      <c r="B328" s="11"/>
      <c r="C328" s="11" t="s">
        <v>355</v>
      </c>
      <c r="D328" s="11" t="s">
        <v>347</v>
      </c>
      <c r="E328" s="11" t="s">
        <v>356</v>
      </c>
      <c r="F328" s="11" t="s">
        <v>362</v>
      </c>
      <c r="G328" s="11" t="s">
        <v>31</v>
      </c>
      <c r="H328" s="11"/>
      <c r="I328" s="11"/>
      <c r="J328" s="11" t="s">
        <v>343</v>
      </c>
      <c r="O328" s="1" t="n">
        <f aca="false">'Behovsmodell (75p)'!$B$62</f>
        <v>85559</v>
      </c>
      <c r="P328" s="1" t="n">
        <f aca="false">('Behovsmodell (75p)'!$B$62)/12</f>
        <v>7129.91666666667</v>
      </c>
    </row>
    <row r="329" customFormat="false" ht="15" hidden="false" customHeight="true" outlineLevel="0" collapsed="false">
      <c r="A329" s="11" t="s">
        <v>943</v>
      </c>
      <c r="B329" s="11" t="s">
        <v>944</v>
      </c>
      <c r="C329" s="11" t="s">
        <v>339</v>
      </c>
      <c r="D329" s="11"/>
      <c r="E329" s="11" t="s">
        <v>396</v>
      </c>
      <c r="F329" s="11"/>
      <c r="G329" s="11"/>
      <c r="H329" s="11"/>
      <c r="I329" s="11"/>
      <c r="J329" s="11" t="s">
        <v>343</v>
      </c>
    </row>
    <row r="330" customFormat="false" ht="15" hidden="false" customHeight="true" outlineLevel="0" collapsed="false">
      <c r="A330" s="11" t="s">
        <v>945</v>
      </c>
      <c r="B330" s="11"/>
      <c r="C330" s="11" t="s">
        <v>339</v>
      </c>
      <c r="D330" s="11" t="s">
        <v>340</v>
      </c>
      <c r="E330" s="11" t="s">
        <v>341</v>
      </c>
      <c r="F330" s="11"/>
      <c r="G330" s="11"/>
      <c r="H330" s="11" t="s">
        <v>340</v>
      </c>
      <c r="I330" s="11"/>
      <c r="J330" s="11" t="s">
        <v>343</v>
      </c>
    </row>
    <row r="331" customFormat="false" ht="15" hidden="false" customHeight="true" outlineLevel="0" collapsed="false">
      <c r="A331" s="11" t="s">
        <v>946</v>
      </c>
      <c r="B331" s="11"/>
      <c r="C331" s="11" t="s">
        <v>339</v>
      </c>
      <c r="D331" s="11" t="s">
        <v>340</v>
      </c>
      <c r="E331" s="11" t="s">
        <v>341</v>
      </c>
      <c r="F331" s="11" t="s">
        <v>548</v>
      </c>
      <c r="G331" s="11"/>
      <c r="H331" s="11" t="s">
        <v>340</v>
      </c>
      <c r="I331" s="11"/>
      <c r="J331" s="11" t="s">
        <v>343</v>
      </c>
    </row>
    <row r="332" customFormat="false" ht="15" hidden="false" customHeight="true" outlineLevel="0" collapsed="false">
      <c r="A332" s="11" t="s">
        <v>947</v>
      </c>
      <c r="B332" s="11" t="s">
        <v>437</v>
      </c>
      <c r="C332" s="11" t="s">
        <v>361</v>
      </c>
      <c r="D332" s="11"/>
      <c r="E332" s="11" t="s">
        <v>356</v>
      </c>
      <c r="F332" s="11" t="s">
        <v>656</v>
      </c>
      <c r="G332" s="11"/>
      <c r="H332" s="11"/>
      <c r="I332" s="11"/>
      <c r="J332" s="11" t="s">
        <v>343</v>
      </c>
    </row>
    <row r="333" customFormat="false" ht="15" hidden="false" customHeight="true" outlineLevel="0" collapsed="false">
      <c r="A333" s="11" t="s">
        <v>948</v>
      </c>
      <c r="B333" s="11"/>
      <c r="C333" s="11" t="s">
        <v>346</v>
      </c>
      <c r="D333" s="11"/>
      <c r="E333" s="11" t="s">
        <v>356</v>
      </c>
      <c r="F333" s="11" t="s">
        <v>362</v>
      </c>
      <c r="G333" s="11"/>
      <c r="H333" s="11"/>
      <c r="I333" s="11"/>
      <c r="J333" s="11" t="s">
        <v>343</v>
      </c>
    </row>
    <row r="334" customFormat="false" ht="15" hidden="false" customHeight="true" outlineLevel="0" collapsed="false">
      <c r="A334" s="11" t="s">
        <v>949</v>
      </c>
      <c r="B334" s="11"/>
      <c r="C334" s="11" t="s">
        <v>355</v>
      </c>
      <c r="D334" s="11" t="s">
        <v>347</v>
      </c>
      <c r="E334" s="11"/>
      <c r="F334" s="11"/>
      <c r="G334" s="11" t="s">
        <v>31</v>
      </c>
      <c r="H334" s="11"/>
      <c r="I334" s="11"/>
      <c r="J334" s="11" t="s">
        <v>343</v>
      </c>
      <c r="O334" s="1" t="n">
        <f aca="false">'Behovsmodell (75p)'!$B$62</f>
        <v>85559</v>
      </c>
      <c r="P334" s="1" t="n">
        <f aca="false">('Behovsmodell (75p)'!$B$62)/12</f>
        <v>7129.91666666667</v>
      </c>
    </row>
    <row r="335" customFormat="false" ht="15" hidden="false" customHeight="true" outlineLevel="0" collapsed="false">
      <c r="A335" s="11" t="s">
        <v>950</v>
      </c>
      <c r="B335" s="11"/>
      <c r="C335" s="11" t="s">
        <v>403</v>
      </c>
      <c r="D335" s="11"/>
      <c r="E335" s="11" t="s">
        <v>356</v>
      </c>
      <c r="F335" s="11" t="s">
        <v>447</v>
      </c>
      <c r="G335" s="11"/>
      <c r="H335" s="11"/>
      <c r="I335" s="11"/>
      <c r="J335" s="11" t="s">
        <v>343</v>
      </c>
      <c r="K335" s="1" t="s">
        <v>951</v>
      </c>
      <c r="L335" s="1" t="s">
        <v>952</v>
      </c>
      <c r="M335" s="1" t="s">
        <v>953</v>
      </c>
      <c r="N335" s="1" t="s">
        <v>954</v>
      </c>
    </row>
    <row r="336" customFormat="false" ht="15" hidden="false" customHeight="true" outlineLevel="0" collapsed="false">
      <c r="A336" s="11" t="s">
        <v>955</v>
      </c>
      <c r="B336" s="11"/>
      <c r="C336" s="11" t="s">
        <v>339</v>
      </c>
      <c r="D336" s="11" t="s">
        <v>352</v>
      </c>
      <c r="E336" s="11"/>
      <c r="F336" s="11"/>
      <c r="G336" s="11" t="s">
        <v>84</v>
      </c>
      <c r="H336" s="11"/>
      <c r="I336" s="11"/>
      <c r="J336" s="11" t="s">
        <v>343</v>
      </c>
      <c r="O336" s="1" t="n">
        <f aca="false">'Behovsmodell (75p)'!$B$68</f>
        <v>330040.65</v>
      </c>
      <c r="P336" s="1" t="n">
        <f aca="false">('Behovsmodell (75p)'!$B$68)/12</f>
        <v>27503.3875</v>
      </c>
    </row>
    <row r="337" customFormat="false" ht="15" hidden="false" customHeight="true" outlineLevel="0" collapsed="false">
      <c r="A337" s="11" t="s">
        <v>956</v>
      </c>
      <c r="B337" s="11"/>
      <c r="C337" s="11" t="s">
        <v>339</v>
      </c>
      <c r="D337" s="11"/>
      <c r="E337" s="11"/>
      <c r="F337" s="11"/>
      <c r="G337" s="11"/>
      <c r="H337" s="11"/>
      <c r="I337" s="11"/>
      <c r="J337" s="11" t="s">
        <v>343</v>
      </c>
    </row>
    <row r="338" customFormat="false" ht="15" hidden="false" customHeight="true" outlineLevel="0" collapsed="false">
      <c r="A338" s="11" t="s">
        <v>957</v>
      </c>
      <c r="B338" s="11" t="s">
        <v>388</v>
      </c>
      <c r="C338" s="11" t="s">
        <v>388</v>
      </c>
      <c r="D338" s="11"/>
      <c r="E338" s="11" t="s">
        <v>356</v>
      </c>
      <c r="F338" s="11"/>
      <c r="G338" s="11"/>
      <c r="H338" s="11"/>
      <c r="I338" s="11"/>
      <c r="J338" s="11" t="s">
        <v>343</v>
      </c>
      <c r="K338" s="1" t="s">
        <v>958</v>
      </c>
      <c r="L338" s="1" t="s">
        <v>959</v>
      </c>
      <c r="N338" s="1" t="s">
        <v>960</v>
      </c>
    </row>
    <row r="339" customFormat="false" ht="15" hidden="false" customHeight="true" outlineLevel="0" collapsed="false">
      <c r="A339" s="11" t="s">
        <v>961</v>
      </c>
      <c r="B339" s="11" t="s">
        <v>388</v>
      </c>
      <c r="C339" s="11" t="s">
        <v>388</v>
      </c>
      <c r="D339" s="11"/>
      <c r="E339" s="11" t="s">
        <v>356</v>
      </c>
      <c r="F339" s="11" t="s">
        <v>702</v>
      </c>
      <c r="G339" s="11"/>
      <c r="H339" s="11"/>
      <c r="I339" s="11"/>
      <c r="J339" s="11" t="s">
        <v>343</v>
      </c>
      <c r="K339" s="1" t="s">
        <v>958</v>
      </c>
      <c r="L339" s="1" t="s">
        <v>959</v>
      </c>
      <c r="N339" s="1" t="s">
        <v>960</v>
      </c>
    </row>
    <row r="340" customFormat="false" ht="15" hidden="false" customHeight="true" outlineLevel="0" collapsed="false">
      <c r="A340" s="11" t="s">
        <v>962</v>
      </c>
      <c r="B340" s="11"/>
      <c r="C340" s="11" t="s">
        <v>245</v>
      </c>
      <c r="D340" s="11" t="s">
        <v>366</v>
      </c>
      <c r="E340" s="11" t="s">
        <v>356</v>
      </c>
      <c r="F340" s="11" t="s">
        <v>358</v>
      </c>
      <c r="G340" s="11"/>
      <c r="H340" s="11" t="s">
        <v>366</v>
      </c>
      <c r="I340" s="11"/>
      <c r="J340" s="11" t="s">
        <v>343</v>
      </c>
      <c r="K340" s="1" t="s">
        <v>963</v>
      </c>
      <c r="L340" s="1" t="s">
        <v>964</v>
      </c>
      <c r="M340" s="1" t="s">
        <v>965</v>
      </c>
      <c r="N340" s="1" t="s">
        <v>966</v>
      </c>
    </row>
    <row r="341" customFormat="false" ht="15" hidden="false" customHeight="true" outlineLevel="0" collapsed="false">
      <c r="A341" s="11" t="s">
        <v>967</v>
      </c>
      <c r="B341" s="11" t="s">
        <v>405</v>
      </c>
      <c r="C341" s="11" t="s">
        <v>346</v>
      </c>
      <c r="D341" s="11" t="s">
        <v>340</v>
      </c>
      <c r="E341" s="11" t="s">
        <v>341</v>
      </c>
      <c r="F341" s="11"/>
      <c r="G341" s="11"/>
      <c r="H341" s="11" t="s">
        <v>340</v>
      </c>
      <c r="I341" s="11"/>
      <c r="J341" s="11" t="s">
        <v>343</v>
      </c>
    </row>
    <row r="342" customFormat="false" ht="15" hidden="false" customHeight="true" outlineLevel="0" collapsed="false">
      <c r="A342" s="11" t="s">
        <v>968</v>
      </c>
      <c r="B342" s="11" t="s">
        <v>345</v>
      </c>
      <c r="C342" s="11" t="s">
        <v>346</v>
      </c>
      <c r="D342" s="11"/>
      <c r="E342" s="11" t="s">
        <v>396</v>
      </c>
      <c r="F342" s="11"/>
      <c r="G342" s="11"/>
      <c r="H342" s="11"/>
      <c r="I342" s="11"/>
      <c r="J342" s="11" t="s">
        <v>343</v>
      </c>
    </row>
    <row r="343" customFormat="false" ht="15" hidden="false" customHeight="true" outlineLevel="0" collapsed="false">
      <c r="A343" s="11" t="s">
        <v>969</v>
      </c>
      <c r="B343" s="11" t="s">
        <v>970</v>
      </c>
      <c r="C343" s="11" t="s">
        <v>355</v>
      </c>
      <c r="D343" s="11" t="s">
        <v>347</v>
      </c>
      <c r="E343" s="11" t="s">
        <v>356</v>
      </c>
      <c r="F343" s="11" t="s">
        <v>971</v>
      </c>
      <c r="G343" s="11" t="s">
        <v>31</v>
      </c>
      <c r="H343" s="11"/>
      <c r="I343" s="11"/>
      <c r="J343" s="11" t="s">
        <v>343</v>
      </c>
      <c r="K343" s="1" t="s">
        <v>972</v>
      </c>
      <c r="L343" s="1" t="s">
        <v>973</v>
      </c>
      <c r="N343" s="1" t="s">
        <v>974</v>
      </c>
      <c r="O343" s="1" t="n">
        <f aca="false">'Behovsmodell (75p)'!$B$62</f>
        <v>85559</v>
      </c>
      <c r="P343" s="1" t="n">
        <f aca="false">('Behovsmodell (75p)'!$B$62)/12</f>
        <v>7129.91666666667</v>
      </c>
    </row>
    <row r="344" customFormat="false" ht="15" hidden="false" customHeight="true" outlineLevel="0" collapsed="false">
      <c r="A344" s="11" t="s">
        <v>975</v>
      </c>
      <c r="B344" s="11"/>
      <c r="C344" s="11" t="s">
        <v>339</v>
      </c>
      <c r="D344" s="11" t="s">
        <v>366</v>
      </c>
      <c r="E344" s="11" t="s">
        <v>341</v>
      </c>
      <c r="F344" s="11"/>
      <c r="G344" s="11"/>
      <c r="H344" s="11" t="s">
        <v>366</v>
      </c>
      <c r="I344" s="11"/>
      <c r="J344" s="11" t="s">
        <v>343</v>
      </c>
    </row>
    <row r="345" customFormat="false" ht="15" hidden="false" customHeight="true" outlineLevel="0" collapsed="false">
      <c r="A345" s="11" t="s">
        <v>976</v>
      </c>
      <c r="B345" s="11" t="s">
        <v>345</v>
      </c>
      <c r="C345" s="11" t="s">
        <v>346</v>
      </c>
      <c r="D345" s="11" t="s">
        <v>340</v>
      </c>
      <c r="E345" s="11" t="s">
        <v>341</v>
      </c>
      <c r="F345" s="11" t="s">
        <v>358</v>
      </c>
      <c r="G345" s="11"/>
      <c r="H345" s="11" t="s">
        <v>340</v>
      </c>
      <c r="I345" s="11"/>
      <c r="J345" s="11" t="s">
        <v>343</v>
      </c>
    </row>
    <row r="346" customFormat="false" ht="15" hidden="false" customHeight="true" outlineLevel="0" collapsed="false">
      <c r="A346" s="11" t="s">
        <v>977</v>
      </c>
      <c r="B346" s="11"/>
      <c r="C346" s="11" t="s">
        <v>339</v>
      </c>
      <c r="D346" s="11"/>
      <c r="E346" s="11" t="s">
        <v>356</v>
      </c>
      <c r="F346" s="11" t="s">
        <v>358</v>
      </c>
      <c r="G346" s="11"/>
      <c r="H346" s="11"/>
      <c r="I346" s="11"/>
      <c r="J346" s="11" t="s">
        <v>343</v>
      </c>
      <c r="K346" s="1" t="s">
        <v>978</v>
      </c>
      <c r="N346" s="1" t="s">
        <v>979</v>
      </c>
    </row>
    <row r="347" customFormat="false" ht="15" hidden="false" customHeight="true" outlineLevel="0" collapsed="false">
      <c r="A347" s="11" t="s">
        <v>980</v>
      </c>
      <c r="B347" s="11" t="s">
        <v>368</v>
      </c>
      <c r="C347" s="11" t="s">
        <v>361</v>
      </c>
      <c r="D347" s="11" t="s">
        <v>347</v>
      </c>
      <c r="E347" s="11"/>
      <c r="F347" s="11" t="s">
        <v>362</v>
      </c>
      <c r="G347" s="11" t="s">
        <v>31</v>
      </c>
      <c r="H347" s="11"/>
      <c r="I347" s="11"/>
      <c r="J347" s="11" t="s">
        <v>343</v>
      </c>
      <c r="O347" s="1" t="n">
        <f aca="false">'Behovsmodell (75p)'!$B$62</f>
        <v>85559</v>
      </c>
      <c r="P347" s="1" t="n">
        <f aca="false">('Behovsmodell (75p)'!$B$62)/12</f>
        <v>7129.91666666667</v>
      </c>
    </row>
    <row r="348" customFormat="false" ht="15" hidden="false" customHeight="true" outlineLevel="0" collapsed="false">
      <c r="A348" s="11" t="s">
        <v>981</v>
      </c>
      <c r="B348" s="11" t="s">
        <v>623</v>
      </c>
      <c r="C348" s="11" t="s">
        <v>351</v>
      </c>
      <c r="D348" s="11" t="s">
        <v>395</v>
      </c>
      <c r="E348" s="11" t="s">
        <v>396</v>
      </c>
      <c r="F348" s="11" t="s">
        <v>478</v>
      </c>
      <c r="G348" s="11" t="s">
        <v>129</v>
      </c>
      <c r="H348" s="11"/>
      <c r="I348" s="11"/>
      <c r="J348" s="11" t="s">
        <v>343</v>
      </c>
      <c r="O348" s="1" t="n">
        <f aca="false">'Behovsmodell (75p)'!$B$76</f>
        <v>111099</v>
      </c>
      <c r="P348" s="1" t="n">
        <f aca="false">('Behovsmodell (75p)'!$B$76)/12</f>
        <v>9258.25</v>
      </c>
    </row>
    <row r="349" customFormat="false" ht="15" hidden="false" customHeight="true" outlineLevel="0" collapsed="false">
      <c r="A349" s="11" t="s">
        <v>982</v>
      </c>
      <c r="B349" s="11" t="s">
        <v>380</v>
      </c>
      <c r="C349" s="11" t="s">
        <v>381</v>
      </c>
      <c r="D349" s="11" t="s">
        <v>340</v>
      </c>
      <c r="E349" s="11" t="s">
        <v>341</v>
      </c>
      <c r="F349" s="11"/>
      <c r="G349" s="11"/>
      <c r="H349" s="11" t="s">
        <v>340</v>
      </c>
      <c r="I349" s="11"/>
      <c r="J349" s="11" t="s">
        <v>343</v>
      </c>
    </row>
    <row r="350" customFormat="false" ht="15" hidden="false" customHeight="true" outlineLevel="0" collapsed="false">
      <c r="A350" s="11" t="s">
        <v>983</v>
      </c>
      <c r="B350" s="11" t="s">
        <v>437</v>
      </c>
      <c r="C350" s="11" t="s">
        <v>361</v>
      </c>
      <c r="D350" s="11"/>
      <c r="E350" s="11" t="s">
        <v>356</v>
      </c>
      <c r="F350" s="11"/>
      <c r="G350" s="11"/>
      <c r="H350" s="11"/>
      <c r="I350" s="11"/>
      <c r="J350" s="11" t="s">
        <v>343</v>
      </c>
    </row>
    <row r="351" customFormat="false" ht="15" hidden="false" customHeight="true" outlineLevel="0" collapsed="false">
      <c r="A351" s="11" t="s">
        <v>984</v>
      </c>
      <c r="B351" s="11" t="s">
        <v>985</v>
      </c>
      <c r="C351" s="11" t="s">
        <v>361</v>
      </c>
      <c r="D351" s="11"/>
      <c r="E351" s="11" t="s">
        <v>356</v>
      </c>
      <c r="F351" s="11" t="s">
        <v>362</v>
      </c>
      <c r="G351" s="11"/>
      <c r="H351" s="11"/>
      <c r="I351" s="11"/>
      <c r="J351" s="11" t="s">
        <v>343</v>
      </c>
    </row>
    <row r="352" customFormat="false" ht="15" hidden="false" customHeight="true" outlineLevel="0" collapsed="false">
      <c r="A352" s="11" t="s">
        <v>986</v>
      </c>
      <c r="B352" s="11"/>
      <c r="C352" s="11" t="s">
        <v>355</v>
      </c>
      <c r="D352" s="11" t="s">
        <v>340</v>
      </c>
      <c r="E352" s="11" t="s">
        <v>341</v>
      </c>
      <c r="F352" s="11"/>
      <c r="G352" s="11"/>
      <c r="H352" s="11" t="s">
        <v>340</v>
      </c>
      <c r="I352" s="11"/>
      <c r="J352" s="11" t="s">
        <v>343</v>
      </c>
    </row>
    <row r="353" customFormat="false" ht="15" hidden="false" customHeight="true" outlineLevel="0" collapsed="false">
      <c r="A353" s="11" t="s">
        <v>987</v>
      </c>
      <c r="B353" s="11"/>
      <c r="C353" s="11" t="s">
        <v>339</v>
      </c>
      <c r="D353" s="11" t="s">
        <v>347</v>
      </c>
      <c r="E353" s="11"/>
      <c r="F353" s="11" t="s">
        <v>988</v>
      </c>
      <c r="G353" s="11" t="s">
        <v>31</v>
      </c>
      <c r="H353" s="11"/>
      <c r="I353" s="11"/>
      <c r="J353" s="11" t="s">
        <v>343</v>
      </c>
      <c r="K353" s="1" t="s">
        <v>420</v>
      </c>
      <c r="L353" s="1" t="s">
        <v>421</v>
      </c>
      <c r="N353" s="1" t="s">
        <v>422</v>
      </c>
      <c r="O353" s="1" t="n">
        <f aca="false">'Behovsmodell (75p)'!$B$62</f>
        <v>85559</v>
      </c>
      <c r="P353" s="1" t="n">
        <f aca="false">('Behovsmodell (75p)'!$B$62)/12</f>
        <v>7129.91666666667</v>
      </c>
    </row>
    <row r="354" customFormat="false" ht="15" hidden="false" customHeight="true" outlineLevel="0" collapsed="false">
      <c r="A354" s="11" t="s">
        <v>989</v>
      </c>
      <c r="B354" s="11"/>
      <c r="C354" s="11" t="s">
        <v>346</v>
      </c>
      <c r="D354" s="11" t="s">
        <v>375</v>
      </c>
      <c r="E354" s="11"/>
      <c r="F354" s="11" t="s">
        <v>353</v>
      </c>
      <c r="G354" s="11" t="s">
        <v>68</v>
      </c>
      <c r="H354" s="11"/>
      <c r="I354" s="11"/>
      <c r="J354" s="11" t="s">
        <v>343</v>
      </c>
      <c r="O354" s="1" t="n">
        <f aca="false">'Behovsmodell (75p)'!$B$66</f>
        <v>206427.05</v>
      </c>
      <c r="P354" s="1" t="n">
        <f aca="false">('Behovsmodell (75p)'!$B$66)/12</f>
        <v>17202.2541666667</v>
      </c>
    </row>
    <row r="355" customFormat="false" ht="15" hidden="false" customHeight="true" outlineLevel="0" collapsed="false">
      <c r="A355" s="11" t="s">
        <v>989</v>
      </c>
      <c r="B355" s="11"/>
      <c r="C355" s="11" t="s">
        <v>355</v>
      </c>
      <c r="D355" s="11" t="s">
        <v>375</v>
      </c>
      <c r="E355" s="11"/>
      <c r="F355" s="11" t="s">
        <v>353</v>
      </c>
      <c r="G355" s="11" t="s">
        <v>68</v>
      </c>
      <c r="H355" s="11"/>
      <c r="I355" s="11"/>
      <c r="J355" s="11" t="s">
        <v>343</v>
      </c>
      <c r="O355" s="1" t="n">
        <f aca="false">'Behovsmodell (75p)'!$B$66</f>
        <v>206427.05</v>
      </c>
      <c r="P355" s="1" t="n">
        <f aca="false">('Behovsmodell (75p)'!$B$66)/12</f>
        <v>17202.2541666667</v>
      </c>
    </row>
    <row r="356" customFormat="false" ht="15" hidden="false" customHeight="true" outlineLevel="0" collapsed="false">
      <c r="A356" s="11" t="s">
        <v>990</v>
      </c>
      <c r="B356" s="11" t="s">
        <v>860</v>
      </c>
      <c r="C356" s="11" t="s">
        <v>381</v>
      </c>
      <c r="D356" s="11" t="s">
        <v>347</v>
      </c>
      <c r="E356" s="11" t="s">
        <v>356</v>
      </c>
      <c r="F356" s="11" t="s">
        <v>439</v>
      </c>
      <c r="G356" s="11" t="s">
        <v>31</v>
      </c>
      <c r="H356" s="11"/>
      <c r="I356" s="11"/>
      <c r="J356" s="11" t="s">
        <v>343</v>
      </c>
      <c r="K356" s="1" t="s">
        <v>991</v>
      </c>
      <c r="L356" s="1" t="s">
        <v>992</v>
      </c>
      <c r="N356" s="1" t="s">
        <v>993</v>
      </c>
      <c r="O356" s="1" t="n">
        <f aca="false">'Behovsmodell (75p)'!$B$62</f>
        <v>85559</v>
      </c>
      <c r="P356" s="1" t="n">
        <f aca="false">('Behovsmodell (75p)'!$B$62)/12</f>
        <v>7129.91666666667</v>
      </c>
    </row>
    <row r="357" customFormat="false" ht="15" hidden="false" customHeight="true" outlineLevel="0" collapsed="false">
      <c r="A357" s="11" t="s">
        <v>994</v>
      </c>
      <c r="B357" s="11"/>
      <c r="C357" s="11" t="s">
        <v>245</v>
      </c>
      <c r="D357" s="11"/>
      <c r="E357" s="11" t="s">
        <v>356</v>
      </c>
      <c r="F357" s="11"/>
      <c r="G357" s="11"/>
      <c r="H357" s="11"/>
      <c r="I357" s="11"/>
      <c r="J357" s="11" t="s">
        <v>343</v>
      </c>
      <c r="K357" s="1" t="s">
        <v>995</v>
      </c>
      <c r="L357" s="1" t="s">
        <v>996</v>
      </c>
      <c r="N357" s="1" t="s">
        <v>997</v>
      </c>
    </row>
    <row r="358" customFormat="false" ht="15" hidden="false" customHeight="true" outlineLevel="0" collapsed="false">
      <c r="A358" s="11" t="s">
        <v>998</v>
      </c>
      <c r="B358" s="11" t="s">
        <v>338</v>
      </c>
      <c r="C358" s="11" t="s">
        <v>339</v>
      </c>
      <c r="D358" s="11" t="s">
        <v>555</v>
      </c>
      <c r="E358" s="11" t="s">
        <v>396</v>
      </c>
      <c r="F358" s="11" t="s">
        <v>999</v>
      </c>
      <c r="G358" s="11" t="s">
        <v>556</v>
      </c>
      <c r="H358" s="11"/>
      <c r="I358" s="11"/>
      <c r="J358" s="11" t="s">
        <v>343</v>
      </c>
      <c r="O358" s="1" t="n">
        <f aca="false">'Behovsmodell (75p)'!$B$68+'Behovsmodell (75p)'!$B$76</f>
        <v>441139.65</v>
      </c>
      <c r="P358" s="1" t="n">
        <f aca="false">('Behovsmodell (75p)'!$B$68+'Behovsmodell (75p)'!$B$76)/12</f>
        <v>36761.6375</v>
      </c>
    </row>
    <row r="359" customFormat="false" ht="15" hidden="false" customHeight="true" outlineLevel="0" collapsed="false">
      <c r="A359" s="11" t="s">
        <v>1000</v>
      </c>
      <c r="B359" s="11" t="s">
        <v>424</v>
      </c>
      <c r="C359" s="11" t="s">
        <v>339</v>
      </c>
      <c r="D359" s="11"/>
      <c r="E359" s="11" t="s">
        <v>396</v>
      </c>
      <c r="F359" s="11" t="s">
        <v>516</v>
      </c>
      <c r="G359" s="11"/>
      <c r="H359" s="11"/>
      <c r="I359" s="11"/>
      <c r="J359" s="11" t="s">
        <v>343</v>
      </c>
    </row>
    <row r="360" customFormat="false" ht="15" hidden="false" customHeight="true" outlineLevel="0" collapsed="false">
      <c r="A360" s="11" t="s">
        <v>1001</v>
      </c>
      <c r="B360" s="11"/>
      <c r="C360" s="11" t="s">
        <v>355</v>
      </c>
      <c r="D360" s="11"/>
      <c r="E360" s="11" t="s">
        <v>356</v>
      </c>
      <c r="F360" s="11" t="s">
        <v>358</v>
      </c>
      <c r="G360" s="11"/>
      <c r="H360" s="11"/>
      <c r="I360" s="11"/>
      <c r="J360" s="11" t="s">
        <v>343</v>
      </c>
    </row>
    <row r="361" customFormat="false" ht="15" hidden="false" customHeight="true" outlineLevel="0" collapsed="false">
      <c r="A361" s="11" t="s">
        <v>1002</v>
      </c>
      <c r="B361" s="11" t="s">
        <v>444</v>
      </c>
      <c r="C361" s="11" t="s">
        <v>355</v>
      </c>
      <c r="D361" s="11" t="s">
        <v>340</v>
      </c>
      <c r="E361" s="11" t="s">
        <v>341</v>
      </c>
      <c r="F361" s="11" t="s">
        <v>358</v>
      </c>
      <c r="G361" s="11"/>
      <c r="H361" s="11" t="s">
        <v>340</v>
      </c>
      <c r="I361" s="11"/>
      <c r="J361" s="11" t="s">
        <v>343</v>
      </c>
    </row>
    <row r="362" customFormat="false" ht="15" hidden="false" customHeight="true" outlineLevel="0" collapsed="false">
      <c r="A362" s="11" t="s">
        <v>1003</v>
      </c>
      <c r="B362" s="11"/>
      <c r="C362" s="11" t="s">
        <v>457</v>
      </c>
      <c r="D362" s="11"/>
      <c r="E362" s="11" t="s">
        <v>396</v>
      </c>
      <c r="F362" s="11"/>
      <c r="G362" s="11"/>
      <c r="H362" s="11"/>
      <c r="I362" s="11"/>
      <c r="J362" s="11" t="s">
        <v>343</v>
      </c>
    </row>
    <row r="363" customFormat="false" ht="15" hidden="false" customHeight="true" outlineLevel="0" collapsed="false">
      <c r="A363" s="11" t="s">
        <v>1004</v>
      </c>
      <c r="B363" s="11" t="s">
        <v>1005</v>
      </c>
      <c r="C363" s="11" t="s">
        <v>346</v>
      </c>
      <c r="D363" s="11"/>
      <c r="E363" s="11" t="s">
        <v>356</v>
      </c>
      <c r="F363" s="11"/>
      <c r="G363" s="11"/>
      <c r="H363" s="11"/>
      <c r="I363" s="11"/>
      <c r="J363" s="11" t="s">
        <v>343</v>
      </c>
    </row>
    <row r="364" customFormat="false" ht="15" hidden="false" customHeight="true" outlineLevel="0" collapsed="false">
      <c r="A364" s="11" t="s">
        <v>1006</v>
      </c>
      <c r="B364" s="11" t="s">
        <v>424</v>
      </c>
      <c r="C364" s="11" t="s">
        <v>339</v>
      </c>
      <c r="D364" s="11" t="s">
        <v>395</v>
      </c>
      <c r="E364" s="11" t="s">
        <v>396</v>
      </c>
      <c r="F364" s="11" t="s">
        <v>656</v>
      </c>
      <c r="G364" s="11" t="s">
        <v>129</v>
      </c>
      <c r="H364" s="11"/>
      <c r="I364" s="11"/>
      <c r="J364" s="11" t="s">
        <v>343</v>
      </c>
      <c r="O364" s="1" t="n">
        <f aca="false">'Behovsmodell (75p)'!$B$76</f>
        <v>111099</v>
      </c>
      <c r="P364" s="1" t="n">
        <f aca="false">('Behovsmodell (75p)'!$B$76)/12</f>
        <v>9258.25</v>
      </c>
    </row>
    <row r="365" customFormat="false" ht="15" hidden="false" customHeight="true" outlineLevel="0" collapsed="false">
      <c r="A365" s="11" t="s">
        <v>1007</v>
      </c>
      <c r="B365" s="11" t="s">
        <v>536</v>
      </c>
      <c r="C365" s="11" t="s">
        <v>536</v>
      </c>
      <c r="D365" s="11" t="s">
        <v>347</v>
      </c>
      <c r="E365" s="11" t="s">
        <v>396</v>
      </c>
      <c r="F365" s="11" t="s">
        <v>452</v>
      </c>
      <c r="G365" s="11" t="s">
        <v>31</v>
      </c>
      <c r="H365" s="11"/>
      <c r="I365" s="11"/>
      <c r="J365" s="11" t="s">
        <v>343</v>
      </c>
      <c r="K365" s="1" t="s">
        <v>1008</v>
      </c>
      <c r="L365" s="1" t="s">
        <v>1009</v>
      </c>
      <c r="N365" s="1" t="s">
        <v>1010</v>
      </c>
      <c r="O365" s="1" t="n">
        <f aca="false">'Behovsmodell (75p)'!$B$62</f>
        <v>85559</v>
      </c>
      <c r="P365" s="1" t="n">
        <f aca="false">('Behovsmodell (75p)'!$B$62)/12</f>
        <v>7129.91666666667</v>
      </c>
    </row>
    <row r="366" customFormat="false" ht="15" hidden="false" customHeight="true" outlineLevel="0" collapsed="false">
      <c r="A366" s="11" t="s">
        <v>1011</v>
      </c>
      <c r="B366" s="11"/>
      <c r="C366" s="11" t="s">
        <v>339</v>
      </c>
      <c r="D366" s="11" t="s">
        <v>347</v>
      </c>
      <c r="E366" s="11" t="s">
        <v>356</v>
      </c>
      <c r="F366" s="11" t="s">
        <v>472</v>
      </c>
      <c r="G366" s="11" t="s">
        <v>31</v>
      </c>
      <c r="H366" s="11"/>
      <c r="I366" s="11"/>
      <c r="J366" s="11" t="s">
        <v>343</v>
      </c>
      <c r="O366" s="1" t="n">
        <f aca="false">'Behovsmodell (75p)'!$B$62</f>
        <v>85559</v>
      </c>
      <c r="P366" s="1" t="n">
        <f aca="false">('Behovsmodell (75p)'!$B$62)/12</f>
        <v>7129.91666666667</v>
      </c>
    </row>
    <row r="367" customFormat="false" ht="15" hidden="false" customHeight="true" outlineLevel="0" collapsed="false">
      <c r="A367" s="11" t="s">
        <v>1011</v>
      </c>
      <c r="B367" s="11"/>
      <c r="C367" s="11" t="s">
        <v>361</v>
      </c>
      <c r="D367" s="11"/>
      <c r="E367" s="11" t="s">
        <v>356</v>
      </c>
      <c r="F367" s="11" t="s">
        <v>472</v>
      </c>
      <c r="G367" s="11"/>
      <c r="H367" s="11"/>
      <c r="I367" s="11"/>
      <c r="J367" s="11" t="s">
        <v>343</v>
      </c>
    </row>
    <row r="368" customFormat="false" ht="15" hidden="false" customHeight="true" outlineLevel="0" collapsed="false">
      <c r="A368" s="11" t="s">
        <v>1012</v>
      </c>
      <c r="B368" s="11" t="s">
        <v>1013</v>
      </c>
      <c r="C368" s="11" t="s">
        <v>339</v>
      </c>
      <c r="D368" s="11"/>
      <c r="E368" s="11" t="s">
        <v>356</v>
      </c>
      <c r="F368" s="11" t="s">
        <v>593</v>
      </c>
      <c r="G368" s="11"/>
      <c r="H368" s="11"/>
      <c r="I368" s="11"/>
      <c r="J368" s="11" t="s">
        <v>343</v>
      </c>
    </row>
    <row r="369" customFormat="false" ht="15" hidden="false" customHeight="true" outlineLevel="0" collapsed="false">
      <c r="A369" s="11" t="s">
        <v>1014</v>
      </c>
      <c r="B369" s="11"/>
      <c r="C369" s="11" t="s">
        <v>361</v>
      </c>
      <c r="D369" s="11"/>
      <c r="E369" s="11" t="s">
        <v>356</v>
      </c>
      <c r="F369" s="11" t="s">
        <v>539</v>
      </c>
      <c r="G369" s="11"/>
      <c r="H369" s="11"/>
      <c r="I369" s="11"/>
      <c r="J369" s="11" t="s">
        <v>343</v>
      </c>
    </row>
    <row r="370" customFormat="false" ht="15" hidden="false" customHeight="true" outlineLevel="0" collapsed="false">
      <c r="A370" s="11" t="s">
        <v>1015</v>
      </c>
      <c r="B370" s="11"/>
      <c r="C370" s="11" t="s">
        <v>339</v>
      </c>
      <c r="D370" s="11" t="s">
        <v>352</v>
      </c>
      <c r="E370" s="11"/>
      <c r="F370" s="11"/>
      <c r="G370" s="11" t="s">
        <v>84</v>
      </c>
      <c r="H370" s="11"/>
      <c r="I370" s="11"/>
      <c r="J370" s="11" t="s">
        <v>343</v>
      </c>
      <c r="O370" s="1" t="n">
        <f aca="false">'Behovsmodell (75p)'!$B$68</f>
        <v>330040.65</v>
      </c>
      <c r="P370" s="1" t="n">
        <f aca="false">('Behovsmodell (75p)'!$B$68)/12</f>
        <v>27503.3875</v>
      </c>
    </row>
    <row r="371" customFormat="false" ht="15" hidden="false" customHeight="true" outlineLevel="0" collapsed="false">
      <c r="A371" s="11" t="s">
        <v>1016</v>
      </c>
      <c r="B371" s="11" t="s">
        <v>536</v>
      </c>
      <c r="C371" s="11" t="s">
        <v>536</v>
      </c>
      <c r="D371" s="11"/>
      <c r="E371" s="11" t="s">
        <v>356</v>
      </c>
      <c r="F371" s="11" t="s">
        <v>999</v>
      </c>
      <c r="G371" s="11"/>
      <c r="H371" s="11"/>
      <c r="I371" s="11"/>
      <c r="J371" s="11" t="s">
        <v>343</v>
      </c>
    </row>
    <row r="372" customFormat="false" ht="15" hidden="false" customHeight="true" outlineLevel="0" collapsed="false">
      <c r="A372" s="11" t="s">
        <v>1017</v>
      </c>
      <c r="B372" s="11"/>
      <c r="C372" s="11" t="s">
        <v>361</v>
      </c>
      <c r="D372" s="11"/>
      <c r="E372" s="11" t="s">
        <v>396</v>
      </c>
      <c r="F372" s="11"/>
      <c r="G372" s="11"/>
      <c r="H372" s="11"/>
      <c r="I372" s="11"/>
      <c r="J372" s="11" t="s">
        <v>343</v>
      </c>
    </row>
    <row r="373" customFormat="false" ht="15" hidden="false" customHeight="true" outlineLevel="0" collapsed="false">
      <c r="A373" s="11" t="s">
        <v>1018</v>
      </c>
      <c r="B373" s="11" t="s">
        <v>383</v>
      </c>
      <c r="C373" s="11" t="s">
        <v>339</v>
      </c>
      <c r="D373" s="11" t="s">
        <v>340</v>
      </c>
      <c r="E373" s="11" t="s">
        <v>341</v>
      </c>
      <c r="F373" s="11" t="s">
        <v>1019</v>
      </c>
      <c r="G373" s="11"/>
      <c r="H373" s="11" t="s">
        <v>340</v>
      </c>
      <c r="I373" s="11"/>
      <c r="J373" s="11" t="s">
        <v>343</v>
      </c>
    </row>
    <row r="374" customFormat="false" ht="15" hidden="false" customHeight="true" outlineLevel="0" collapsed="false">
      <c r="A374" s="11" t="s">
        <v>1020</v>
      </c>
      <c r="B374" s="11" t="s">
        <v>368</v>
      </c>
      <c r="C374" s="11" t="s">
        <v>361</v>
      </c>
      <c r="D374" s="11"/>
      <c r="E374" s="11" t="s">
        <v>356</v>
      </c>
      <c r="F374" s="11"/>
      <c r="G374" s="11"/>
      <c r="H374" s="11"/>
      <c r="I374" s="11"/>
      <c r="J374" s="11" t="s">
        <v>343</v>
      </c>
    </row>
    <row r="375" customFormat="false" ht="15" hidden="false" customHeight="true" outlineLevel="0" collapsed="false">
      <c r="A375" s="11" t="s">
        <v>1021</v>
      </c>
      <c r="B375" s="11" t="s">
        <v>1022</v>
      </c>
      <c r="C375" s="11" t="s">
        <v>355</v>
      </c>
      <c r="D375" s="11" t="s">
        <v>366</v>
      </c>
      <c r="E375" s="11" t="s">
        <v>341</v>
      </c>
      <c r="F375" s="11"/>
      <c r="G375" s="11"/>
      <c r="H375" s="11" t="s">
        <v>366</v>
      </c>
      <c r="I375" s="11"/>
      <c r="J375" s="11" t="s">
        <v>343</v>
      </c>
    </row>
    <row r="376" customFormat="false" ht="15" hidden="false" customHeight="true" outlineLevel="0" collapsed="false">
      <c r="A376" s="11" t="s">
        <v>1023</v>
      </c>
      <c r="B376" s="11"/>
      <c r="C376" s="11" t="s">
        <v>355</v>
      </c>
      <c r="D376" s="11"/>
      <c r="E376" s="11" t="s">
        <v>356</v>
      </c>
      <c r="F376" s="11" t="s">
        <v>777</v>
      </c>
      <c r="G376" s="11"/>
      <c r="H376" s="11"/>
      <c r="I376" s="11"/>
      <c r="J376" s="11" t="s">
        <v>343</v>
      </c>
    </row>
    <row r="377" customFormat="false" ht="15" hidden="false" customHeight="true" outlineLevel="0" collapsed="false">
      <c r="A377" s="11" t="s">
        <v>1024</v>
      </c>
      <c r="B377" s="11" t="s">
        <v>411</v>
      </c>
      <c r="C377" s="11" t="s">
        <v>339</v>
      </c>
      <c r="D377" s="11" t="s">
        <v>347</v>
      </c>
      <c r="E377" s="11"/>
      <c r="F377" s="11" t="s">
        <v>548</v>
      </c>
      <c r="G377" s="11" t="s">
        <v>31</v>
      </c>
      <c r="H377" s="11"/>
      <c r="I377" s="11"/>
      <c r="J377" s="11" t="s">
        <v>343</v>
      </c>
      <c r="O377" s="1" t="n">
        <f aca="false">'Behovsmodell (75p)'!$B$62</f>
        <v>85559</v>
      </c>
      <c r="P377" s="1" t="n">
        <f aca="false">('Behovsmodell (75p)'!$B$62)/12</f>
        <v>7129.91666666667</v>
      </c>
    </row>
    <row r="378" customFormat="false" ht="15" hidden="false" customHeight="true" outlineLevel="0" collapsed="false">
      <c r="A378" s="11" t="s">
        <v>1025</v>
      </c>
      <c r="B378" s="11"/>
      <c r="C378" s="11" t="s">
        <v>339</v>
      </c>
      <c r="D378" s="11" t="s">
        <v>347</v>
      </c>
      <c r="E378" s="11"/>
      <c r="F378" s="11"/>
      <c r="G378" s="11" t="s">
        <v>31</v>
      </c>
      <c r="H378" s="11"/>
      <c r="I378" s="11"/>
      <c r="J378" s="11" t="s">
        <v>343</v>
      </c>
      <c r="O378" s="1" t="n">
        <f aca="false">'Behovsmodell (75p)'!$B$62</f>
        <v>85559</v>
      </c>
      <c r="P378" s="1" t="n">
        <f aca="false">('Behovsmodell (75p)'!$B$62)/12</f>
        <v>7129.91666666667</v>
      </c>
    </row>
    <row r="379" customFormat="false" ht="15" hidden="false" customHeight="true" outlineLevel="0" collapsed="false">
      <c r="A379" s="11" t="s">
        <v>1026</v>
      </c>
      <c r="B379" s="11"/>
      <c r="C379" s="11" t="s">
        <v>339</v>
      </c>
      <c r="D379" s="11" t="s">
        <v>352</v>
      </c>
      <c r="E379" s="11"/>
      <c r="F379" s="11"/>
      <c r="G379" s="11" t="s">
        <v>84</v>
      </c>
      <c r="H379" s="11"/>
      <c r="I379" s="11"/>
      <c r="J379" s="11" t="s">
        <v>343</v>
      </c>
      <c r="O379" s="1" t="n">
        <f aca="false">'Behovsmodell (75p)'!$B$68</f>
        <v>330040.65</v>
      </c>
      <c r="P379" s="1" t="n">
        <f aca="false">('Behovsmodell (75p)'!$B$68)/12</f>
        <v>27503.3875</v>
      </c>
    </row>
    <row r="380" customFormat="false" ht="15" hidden="false" customHeight="true" outlineLevel="0" collapsed="false">
      <c r="A380" s="11" t="s">
        <v>1027</v>
      </c>
      <c r="B380" s="11" t="s">
        <v>449</v>
      </c>
      <c r="C380" s="11" t="s">
        <v>245</v>
      </c>
      <c r="D380" s="11" t="s">
        <v>340</v>
      </c>
      <c r="E380" s="11" t="s">
        <v>341</v>
      </c>
      <c r="F380" s="11" t="s">
        <v>358</v>
      </c>
      <c r="G380" s="11"/>
      <c r="H380" s="11" t="s">
        <v>340</v>
      </c>
      <c r="I380" s="11"/>
      <c r="J380" s="11" t="s">
        <v>343</v>
      </c>
    </row>
    <row r="381" customFormat="false" ht="15" hidden="false" customHeight="true" outlineLevel="0" collapsed="false">
      <c r="A381" s="11" t="s">
        <v>1028</v>
      </c>
      <c r="B381" s="11" t="s">
        <v>611</v>
      </c>
      <c r="C381" s="11" t="s">
        <v>339</v>
      </c>
      <c r="D381" s="11" t="s">
        <v>340</v>
      </c>
      <c r="E381" s="11" t="s">
        <v>341</v>
      </c>
      <c r="F381" s="11"/>
      <c r="G381" s="11"/>
      <c r="H381" s="11" t="s">
        <v>340</v>
      </c>
      <c r="I381" s="11"/>
      <c r="J381" s="11" t="s">
        <v>343</v>
      </c>
    </row>
    <row r="382" customFormat="false" ht="15" hidden="false" customHeight="true" outlineLevel="0" collapsed="false">
      <c r="A382" s="11" t="s">
        <v>1029</v>
      </c>
      <c r="B382" s="11" t="s">
        <v>663</v>
      </c>
      <c r="C382" s="11" t="s">
        <v>414</v>
      </c>
      <c r="D382" s="11" t="s">
        <v>347</v>
      </c>
      <c r="E382" s="11" t="s">
        <v>356</v>
      </c>
      <c r="F382" s="11"/>
      <c r="G382" s="11" t="s">
        <v>31</v>
      </c>
      <c r="H382" s="11"/>
      <c r="I382" s="11"/>
      <c r="J382" s="11" t="s">
        <v>343</v>
      </c>
      <c r="K382" s="1" t="s">
        <v>1030</v>
      </c>
      <c r="M382" s="1" t="s">
        <v>1031</v>
      </c>
      <c r="N382" s="1" t="s">
        <v>1032</v>
      </c>
      <c r="O382" s="1" t="n">
        <f aca="false">'Behovsmodell (75p)'!$B$62</f>
        <v>85559</v>
      </c>
      <c r="P382" s="1" t="n">
        <f aca="false">('Behovsmodell (75p)'!$B$62)/12</f>
        <v>7129.91666666667</v>
      </c>
    </row>
    <row r="383" customFormat="false" ht="15" hidden="false" customHeight="true" outlineLevel="0" collapsed="false">
      <c r="A383" s="11" t="s">
        <v>1033</v>
      </c>
      <c r="B383" s="11"/>
      <c r="C383" s="11" t="s">
        <v>403</v>
      </c>
      <c r="D383" s="11"/>
      <c r="E383" s="11"/>
      <c r="F383" s="11"/>
      <c r="G383" s="11"/>
      <c r="H383" s="11"/>
      <c r="I383" s="11"/>
      <c r="J383" s="11" t="s">
        <v>343</v>
      </c>
    </row>
    <row r="384" customFormat="false" ht="15" hidden="false" customHeight="true" outlineLevel="0" collapsed="false">
      <c r="A384" s="24" t="s">
        <v>558</v>
      </c>
      <c r="B384" s="24"/>
      <c r="C384" s="24" t="s">
        <v>403</v>
      </c>
      <c r="D384" s="24"/>
      <c r="E384" s="24"/>
      <c r="F384" s="24"/>
      <c r="G384" s="24"/>
      <c r="H384" s="24"/>
      <c r="I384" s="24" t="s">
        <v>560</v>
      </c>
      <c r="J384" s="24" t="s">
        <v>343</v>
      </c>
    </row>
    <row r="385" customFormat="false" ht="15" hidden="false" customHeight="true" outlineLevel="0" collapsed="false">
      <c r="A385" s="24" t="s">
        <v>1034</v>
      </c>
      <c r="B385" s="24" t="s">
        <v>595</v>
      </c>
      <c r="C385" s="24" t="s">
        <v>536</v>
      </c>
      <c r="D385" s="24"/>
      <c r="E385" s="24" t="s">
        <v>356</v>
      </c>
      <c r="F385" s="24" t="s">
        <v>1035</v>
      </c>
      <c r="G385" s="24"/>
      <c r="H385" s="24"/>
      <c r="I385" s="24" t="s">
        <v>384</v>
      </c>
      <c r="J385" s="24" t="s">
        <v>343</v>
      </c>
    </row>
    <row r="386" customFormat="false" ht="15" hidden="false" customHeight="true" outlineLevel="0" collapsed="false">
      <c r="A386" s="11" t="s">
        <v>1036</v>
      </c>
      <c r="B386" s="11"/>
      <c r="C386" s="11" t="s">
        <v>346</v>
      </c>
      <c r="D386" s="11" t="s">
        <v>347</v>
      </c>
      <c r="E386" s="11"/>
      <c r="F386" s="11"/>
      <c r="G386" s="11" t="s">
        <v>31</v>
      </c>
      <c r="H386" s="11"/>
      <c r="I386" s="11"/>
      <c r="J386" s="11" t="s">
        <v>343</v>
      </c>
      <c r="O386" s="1" t="n">
        <f aca="false">'Behovsmodell (75p)'!$B$62</f>
        <v>85559</v>
      </c>
      <c r="P386" s="1" t="n">
        <f aca="false">('Behovsmodell (75p)'!$B$62)/12</f>
        <v>7129.91666666667</v>
      </c>
    </row>
    <row r="387" customFormat="false" ht="15" hidden="false" customHeight="true" outlineLevel="0" collapsed="false">
      <c r="A387" s="11" t="s">
        <v>1037</v>
      </c>
      <c r="B387" s="11"/>
      <c r="C387" s="11" t="s">
        <v>245</v>
      </c>
      <c r="D387" s="11"/>
      <c r="E387" s="11" t="s">
        <v>356</v>
      </c>
      <c r="F387" s="11" t="s">
        <v>539</v>
      </c>
      <c r="G387" s="11"/>
      <c r="H387" s="11"/>
      <c r="I387" s="11"/>
      <c r="J387" s="11" t="s">
        <v>343</v>
      </c>
    </row>
    <row r="388" customFormat="false" ht="15" hidden="false" customHeight="true" outlineLevel="0" collapsed="false">
      <c r="A388" s="11" t="s">
        <v>1038</v>
      </c>
      <c r="B388" s="11"/>
      <c r="C388" s="11" t="s">
        <v>355</v>
      </c>
      <c r="D388" s="11"/>
      <c r="E388" s="11" t="s">
        <v>396</v>
      </c>
      <c r="F388" s="11" t="s">
        <v>358</v>
      </c>
      <c r="G388" s="11"/>
      <c r="H388" s="11"/>
      <c r="I388" s="11"/>
      <c r="J388" s="11" t="s">
        <v>343</v>
      </c>
    </row>
    <row r="389" customFormat="false" ht="15" hidden="false" customHeight="true" outlineLevel="0" collapsed="false">
      <c r="A389" s="11" t="s">
        <v>1039</v>
      </c>
      <c r="B389" s="11" t="s">
        <v>424</v>
      </c>
      <c r="C389" s="11" t="s">
        <v>339</v>
      </c>
      <c r="D389" s="11" t="s">
        <v>340</v>
      </c>
      <c r="E389" s="11" t="s">
        <v>341</v>
      </c>
      <c r="F389" s="11"/>
      <c r="G389" s="11"/>
      <c r="H389" s="11" t="s">
        <v>340</v>
      </c>
      <c r="I389" s="11"/>
      <c r="J389" s="11" t="s">
        <v>343</v>
      </c>
    </row>
    <row r="390" customFormat="false" ht="15" hidden="false" customHeight="true" outlineLevel="0" collapsed="false">
      <c r="A390" s="11" t="s">
        <v>1040</v>
      </c>
      <c r="B390" s="11"/>
      <c r="C390" s="11" t="s">
        <v>597</v>
      </c>
      <c r="D390" s="11" t="s">
        <v>340</v>
      </c>
      <c r="E390" s="11" t="s">
        <v>341</v>
      </c>
      <c r="F390" s="11" t="s">
        <v>478</v>
      </c>
      <c r="G390" s="11"/>
      <c r="H390" s="11" t="s">
        <v>340</v>
      </c>
      <c r="I390" s="11"/>
      <c r="J390" s="11" t="s">
        <v>343</v>
      </c>
    </row>
    <row r="391" customFormat="false" ht="15" hidden="false" customHeight="true" outlineLevel="0" collapsed="false">
      <c r="A391" s="11" t="s">
        <v>1041</v>
      </c>
      <c r="B391" s="11" t="s">
        <v>668</v>
      </c>
      <c r="C391" s="11" t="s">
        <v>355</v>
      </c>
      <c r="D391" s="11" t="s">
        <v>340</v>
      </c>
      <c r="E391" s="11" t="s">
        <v>341</v>
      </c>
      <c r="F391" s="11" t="s">
        <v>613</v>
      </c>
      <c r="G391" s="11"/>
      <c r="H391" s="11" t="s">
        <v>340</v>
      </c>
      <c r="I391" s="11"/>
      <c r="J391" s="11" t="s">
        <v>343</v>
      </c>
    </row>
    <row r="392" customFormat="false" ht="15" hidden="false" customHeight="true" outlineLevel="0" collapsed="false">
      <c r="A392" s="11" t="s">
        <v>1042</v>
      </c>
      <c r="B392" s="11"/>
      <c r="C392" s="11" t="s">
        <v>339</v>
      </c>
      <c r="D392" s="11"/>
      <c r="E392" s="11" t="s">
        <v>356</v>
      </c>
      <c r="F392" s="11" t="s">
        <v>441</v>
      </c>
      <c r="G392" s="11"/>
      <c r="H392" s="11"/>
      <c r="I392" s="11"/>
      <c r="J392" s="11" t="s">
        <v>343</v>
      </c>
    </row>
    <row r="393" customFormat="false" ht="15" hidden="false" customHeight="true" outlineLevel="0" collapsed="false">
      <c r="A393" s="11" t="s">
        <v>1043</v>
      </c>
      <c r="B393" s="11" t="s">
        <v>908</v>
      </c>
      <c r="C393" s="11" t="s">
        <v>381</v>
      </c>
      <c r="D393" s="11"/>
      <c r="E393" s="11" t="s">
        <v>356</v>
      </c>
      <c r="F393" s="11" t="s">
        <v>358</v>
      </c>
      <c r="G393" s="11"/>
      <c r="H393" s="11"/>
      <c r="I393" s="11"/>
      <c r="J393" s="11" t="s">
        <v>343</v>
      </c>
    </row>
    <row r="394" customFormat="false" ht="15" hidden="false" customHeight="true" outlineLevel="0" collapsed="false">
      <c r="A394" s="11" t="s">
        <v>1044</v>
      </c>
      <c r="B394" s="11"/>
      <c r="C394" s="11" t="s">
        <v>457</v>
      </c>
      <c r="D394" s="11" t="s">
        <v>366</v>
      </c>
      <c r="E394" s="11" t="s">
        <v>341</v>
      </c>
      <c r="F394" s="11"/>
      <c r="G394" s="11"/>
      <c r="H394" s="11" t="s">
        <v>366</v>
      </c>
      <c r="I394" s="11"/>
      <c r="J394" s="11" t="s">
        <v>343</v>
      </c>
    </row>
    <row r="395" customFormat="false" ht="15" hidden="false" customHeight="true" outlineLevel="0" collapsed="false">
      <c r="A395" s="11" t="s">
        <v>1044</v>
      </c>
      <c r="B395" s="11"/>
      <c r="C395" s="11" t="s">
        <v>355</v>
      </c>
      <c r="D395" s="11" t="s">
        <v>366</v>
      </c>
      <c r="E395" s="11" t="s">
        <v>341</v>
      </c>
      <c r="F395" s="11"/>
      <c r="G395" s="11"/>
      <c r="H395" s="11" t="s">
        <v>366</v>
      </c>
      <c r="I395" s="11"/>
      <c r="J395" s="11" t="s">
        <v>343</v>
      </c>
    </row>
    <row r="396" customFormat="false" ht="15" hidden="false" customHeight="true" outlineLevel="0" collapsed="false">
      <c r="A396" s="11" t="s">
        <v>1044</v>
      </c>
      <c r="B396" s="11"/>
      <c r="C396" s="11" t="s">
        <v>339</v>
      </c>
      <c r="D396" s="11" t="s">
        <v>366</v>
      </c>
      <c r="E396" s="11" t="s">
        <v>341</v>
      </c>
      <c r="F396" s="11"/>
      <c r="G396" s="11"/>
      <c r="H396" s="11" t="s">
        <v>366</v>
      </c>
      <c r="I396" s="11"/>
      <c r="J396" s="11" t="s">
        <v>343</v>
      </c>
    </row>
    <row r="397" customFormat="false" ht="15" hidden="false" customHeight="true" outlineLevel="0" collapsed="false">
      <c r="A397" s="11" t="s">
        <v>1045</v>
      </c>
      <c r="B397" s="11"/>
      <c r="C397" s="11" t="s">
        <v>457</v>
      </c>
      <c r="D397" s="11" t="s">
        <v>352</v>
      </c>
      <c r="E397" s="11"/>
      <c r="F397" s="11" t="s">
        <v>441</v>
      </c>
      <c r="G397" s="11" t="s">
        <v>84</v>
      </c>
      <c r="H397" s="11"/>
      <c r="I397" s="11"/>
      <c r="J397" s="11" t="s">
        <v>343</v>
      </c>
      <c r="O397" s="1" t="n">
        <f aca="false">'Behovsmodell (75p)'!$B$68</f>
        <v>330040.65</v>
      </c>
      <c r="P397" s="1" t="n">
        <f aca="false">('Behovsmodell (75p)'!$B$68)/12</f>
        <v>27503.3875</v>
      </c>
    </row>
    <row r="398" customFormat="false" ht="15" hidden="false" customHeight="true" outlineLevel="0" collapsed="false">
      <c r="A398" s="11" t="s">
        <v>1045</v>
      </c>
      <c r="B398" s="11"/>
      <c r="C398" s="11" t="s">
        <v>339</v>
      </c>
      <c r="D398" s="11" t="s">
        <v>352</v>
      </c>
      <c r="E398" s="11"/>
      <c r="F398" s="11" t="s">
        <v>441</v>
      </c>
      <c r="G398" s="11" t="s">
        <v>84</v>
      </c>
      <c r="H398" s="11"/>
      <c r="I398" s="11"/>
      <c r="J398" s="11" t="s">
        <v>343</v>
      </c>
      <c r="O398" s="1" t="n">
        <f aca="false">'Behovsmodell (75p)'!$B$68</f>
        <v>330040.65</v>
      </c>
      <c r="P398" s="1" t="n">
        <f aca="false">('Behovsmodell (75p)'!$B$68)/12</f>
        <v>27503.3875</v>
      </c>
    </row>
    <row r="399" customFormat="false" ht="15" hidden="false" customHeight="true" outlineLevel="0" collapsed="false">
      <c r="A399" s="11" t="s">
        <v>1046</v>
      </c>
      <c r="B399" s="11" t="s">
        <v>528</v>
      </c>
      <c r="C399" s="11" t="s">
        <v>355</v>
      </c>
      <c r="D399" s="11"/>
      <c r="E399" s="11" t="s">
        <v>356</v>
      </c>
      <c r="F399" s="11" t="s">
        <v>353</v>
      </c>
      <c r="G399" s="11"/>
      <c r="H399" s="11"/>
      <c r="I399" s="11"/>
      <c r="J399" s="11" t="s">
        <v>343</v>
      </c>
    </row>
    <row r="400" customFormat="false" ht="15" hidden="false" customHeight="true" outlineLevel="0" collapsed="false">
      <c r="A400" s="11" t="s">
        <v>1047</v>
      </c>
      <c r="B400" s="11" t="s">
        <v>1048</v>
      </c>
      <c r="C400" s="11" t="s">
        <v>355</v>
      </c>
      <c r="D400" s="11" t="s">
        <v>340</v>
      </c>
      <c r="E400" s="11" t="s">
        <v>341</v>
      </c>
      <c r="F400" s="11" t="s">
        <v>1049</v>
      </c>
      <c r="G400" s="11"/>
      <c r="H400" s="11" t="s">
        <v>340</v>
      </c>
      <c r="I400" s="11"/>
      <c r="J400" s="11" t="s">
        <v>343</v>
      </c>
    </row>
    <row r="401" customFormat="false" ht="15" hidden="false" customHeight="true" outlineLevel="0" collapsed="false">
      <c r="A401" s="11" t="s">
        <v>1050</v>
      </c>
      <c r="B401" s="11" t="s">
        <v>1051</v>
      </c>
      <c r="C401" s="11" t="s">
        <v>536</v>
      </c>
      <c r="D401" s="11" t="s">
        <v>366</v>
      </c>
      <c r="E401" s="11" t="s">
        <v>341</v>
      </c>
      <c r="F401" s="11"/>
      <c r="G401" s="11"/>
      <c r="H401" s="11" t="s">
        <v>366</v>
      </c>
      <c r="I401" s="11"/>
      <c r="J401" s="11" t="s">
        <v>343</v>
      </c>
    </row>
    <row r="402" customFormat="false" ht="15" hidden="false" customHeight="true" outlineLevel="0" collapsed="false">
      <c r="A402" s="11" t="s">
        <v>1052</v>
      </c>
      <c r="B402" s="11"/>
      <c r="C402" s="11" t="s">
        <v>339</v>
      </c>
      <c r="D402" s="11"/>
      <c r="E402" s="11" t="s">
        <v>356</v>
      </c>
      <c r="F402" s="11" t="s">
        <v>358</v>
      </c>
      <c r="G402" s="11"/>
      <c r="H402" s="11"/>
      <c r="I402" s="11"/>
      <c r="J402" s="11" t="s">
        <v>343</v>
      </c>
    </row>
    <row r="403" customFormat="false" ht="15" hidden="false" customHeight="true" outlineLevel="0" collapsed="false">
      <c r="A403" s="11" t="s">
        <v>1053</v>
      </c>
      <c r="B403" s="11" t="s">
        <v>1054</v>
      </c>
      <c r="C403" s="11" t="s">
        <v>414</v>
      </c>
      <c r="D403" s="11"/>
      <c r="E403" s="11" t="s">
        <v>356</v>
      </c>
      <c r="F403" s="11" t="s">
        <v>358</v>
      </c>
      <c r="G403" s="11"/>
      <c r="H403" s="11"/>
      <c r="I403" s="11"/>
      <c r="J403" s="11" t="s">
        <v>343</v>
      </c>
    </row>
    <row r="404" customFormat="false" ht="15" hidden="false" customHeight="true" outlineLevel="0" collapsed="false">
      <c r="A404" s="11" t="s">
        <v>1055</v>
      </c>
      <c r="B404" s="11"/>
      <c r="C404" s="11" t="s">
        <v>355</v>
      </c>
      <c r="D404" s="11" t="s">
        <v>340</v>
      </c>
      <c r="E404" s="11" t="s">
        <v>341</v>
      </c>
      <c r="F404" s="11" t="s">
        <v>358</v>
      </c>
      <c r="G404" s="11"/>
      <c r="H404" s="11" t="s">
        <v>340</v>
      </c>
      <c r="I404" s="11"/>
      <c r="J404" s="11" t="s">
        <v>343</v>
      </c>
    </row>
    <row r="405" customFormat="false" ht="15" hidden="false" customHeight="true" outlineLevel="0" collapsed="false">
      <c r="A405" s="11" t="s">
        <v>1056</v>
      </c>
      <c r="B405" s="11" t="s">
        <v>550</v>
      </c>
      <c r="C405" s="11" t="s">
        <v>355</v>
      </c>
      <c r="D405" s="11" t="s">
        <v>375</v>
      </c>
      <c r="E405" s="11" t="s">
        <v>356</v>
      </c>
      <c r="F405" s="11" t="s">
        <v>358</v>
      </c>
      <c r="G405" s="11" t="s">
        <v>68</v>
      </c>
      <c r="H405" s="11"/>
      <c r="I405" s="11"/>
      <c r="J405" s="11" t="s">
        <v>343</v>
      </c>
      <c r="O405" s="1" t="n">
        <f aca="false">'Behovsmodell (75p)'!$B$66</f>
        <v>206427.05</v>
      </c>
      <c r="P405" s="1" t="n">
        <f aca="false">('Behovsmodell (75p)'!$B$66)/12</f>
        <v>17202.2541666667</v>
      </c>
    </row>
    <row r="406" customFormat="false" ht="15" hidden="false" customHeight="true" outlineLevel="0" collapsed="false">
      <c r="A406" s="11" t="s">
        <v>1057</v>
      </c>
      <c r="B406" s="11" t="s">
        <v>597</v>
      </c>
      <c r="C406" s="11" t="s">
        <v>597</v>
      </c>
      <c r="D406" s="11" t="s">
        <v>340</v>
      </c>
      <c r="E406" s="11" t="s">
        <v>341</v>
      </c>
      <c r="F406" s="11" t="s">
        <v>452</v>
      </c>
      <c r="G406" s="11"/>
      <c r="H406" s="11" t="s">
        <v>340</v>
      </c>
      <c r="I406" s="11"/>
      <c r="J406" s="11" t="s">
        <v>343</v>
      </c>
    </row>
    <row r="407" customFormat="false" ht="15" hidden="false" customHeight="true" outlineLevel="0" collapsed="false">
      <c r="A407" s="11" t="s">
        <v>1058</v>
      </c>
      <c r="B407" s="11" t="s">
        <v>429</v>
      </c>
      <c r="C407" s="11" t="s">
        <v>361</v>
      </c>
      <c r="D407" s="11"/>
      <c r="E407" s="11" t="s">
        <v>356</v>
      </c>
      <c r="F407" s="11" t="s">
        <v>702</v>
      </c>
      <c r="G407" s="11"/>
      <c r="H407" s="11"/>
      <c r="I407" s="11"/>
      <c r="J407" s="11" t="s">
        <v>343</v>
      </c>
    </row>
    <row r="408" customFormat="false" ht="15" hidden="false" customHeight="true" outlineLevel="0" collapsed="false">
      <c r="A408" s="11" t="s">
        <v>1059</v>
      </c>
      <c r="B408" s="11" t="s">
        <v>522</v>
      </c>
      <c r="C408" s="11" t="s">
        <v>351</v>
      </c>
      <c r="D408" s="11" t="s">
        <v>340</v>
      </c>
      <c r="E408" s="11" t="s">
        <v>341</v>
      </c>
      <c r="F408" s="11"/>
      <c r="G408" s="11"/>
      <c r="H408" s="11" t="s">
        <v>340</v>
      </c>
      <c r="I408" s="11"/>
      <c r="J408" s="11" t="s">
        <v>343</v>
      </c>
    </row>
    <row r="409" customFormat="false" ht="15" hidden="false" customHeight="true" outlineLevel="0" collapsed="false">
      <c r="A409" s="11" t="s">
        <v>1060</v>
      </c>
      <c r="B409" s="11"/>
      <c r="C409" s="11" t="s">
        <v>346</v>
      </c>
      <c r="D409" s="11" t="s">
        <v>340</v>
      </c>
      <c r="E409" s="11" t="s">
        <v>341</v>
      </c>
      <c r="F409" s="11"/>
      <c r="G409" s="11"/>
      <c r="H409" s="11" t="s">
        <v>340</v>
      </c>
      <c r="I409" s="11"/>
      <c r="J409" s="11" t="s">
        <v>343</v>
      </c>
    </row>
    <row r="410" customFormat="false" ht="15" hidden="false" customHeight="true" outlineLevel="0" collapsed="false">
      <c r="A410" s="11" t="s">
        <v>1061</v>
      </c>
      <c r="B410" s="11" t="s">
        <v>345</v>
      </c>
      <c r="C410" s="11" t="s">
        <v>346</v>
      </c>
      <c r="D410" s="11" t="s">
        <v>395</v>
      </c>
      <c r="E410" s="11" t="s">
        <v>396</v>
      </c>
      <c r="F410" s="11" t="s">
        <v>447</v>
      </c>
      <c r="G410" s="11" t="s">
        <v>129</v>
      </c>
      <c r="H410" s="11"/>
      <c r="I410" s="11"/>
      <c r="J410" s="11" t="s">
        <v>343</v>
      </c>
      <c r="O410" s="1" t="n">
        <f aca="false">'Behovsmodell (75p)'!$B$76</f>
        <v>111099</v>
      </c>
      <c r="P410" s="1" t="n">
        <f aca="false">('Behovsmodell (75p)'!$B$76)/12</f>
        <v>9258.25</v>
      </c>
    </row>
    <row r="411" customFormat="false" ht="15" hidden="false" customHeight="true" outlineLevel="0" collapsed="false">
      <c r="A411" s="11" t="s">
        <v>1062</v>
      </c>
      <c r="B411" s="11"/>
      <c r="C411" s="11" t="s">
        <v>339</v>
      </c>
      <c r="D411" s="11" t="s">
        <v>347</v>
      </c>
      <c r="E411" s="11"/>
      <c r="F411" s="11" t="s">
        <v>915</v>
      </c>
      <c r="G411" s="11" t="s">
        <v>31</v>
      </c>
      <c r="H411" s="11"/>
      <c r="I411" s="11"/>
      <c r="J411" s="11" t="s">
        <v>343</v>
      </c>
      <c r="O411" s="1" t="n">
        <f aca="false">'Behovsmodell (75p)'!$B$62</f>
        <v>85559</v>
      </c>
      <c r="P411" s="1" t="n">
        <f aca="false">('Behovsmodell (75p)'!$B$62)/12</f>
        <v>7129.91666666667</v>
      </c>
    </row>
    <row r="412" customFormat="false" ht="15" hidden="false" customHeight="true" outlineLevel="0" collapsed="false">
      <c r="A412" s="11" t="s">
        <v>1063</v>
      </c>
      <c r="B412" s="11" t="s">
        <v>481</v>
      </c>
      <c r="C412" s="11" t="s">
        <v>457</v>
      </c>
      <c r="D412" s="11" t="s">
        <v>352</v>
      </c>
      <c r="E412" s="11" t="s">
        <v>396</v>
      </c>
      <c r="F412" s="11" t="s">
        <v>478</v>
      </c>
      <c r="G412" s="11" t="s">
        <v>84</v>
      </c>
      <c r="H412" s="11"/>
      <c r="I412" s="11"/>
      <c r="J412" s="11" t="s">
        <v>343</v>
      </c>
      <c r="O412" s="1" t="n">
        <f aca="false">'Behovsmodell (75p)'!$B$68</f>
        <v>330040.65</v>
      </c>
      <c r="P412" s="1" t="n">
        <f aca="false">('Behovsmodell (75p)'!$B$68)/12</f>
        <v>27503.3875</v>
      </c>
    </row>
    <row r="413" customFormat="false" ht="15" hidden="false" customHeight="true" outlineLevel="0" collapsed="false">
      <c r="A413" s="11" t="s">
        <v>1064</v>
      </c>
      <c r="B413" s="11" t="s">
        <v>650</v>
      </c>
      <c r="C413" s="11" t="s">
        <v>414</v>
      </c>
      <c r="D413" s="11" t="s">
        <v>347</v>
      </c>
      <c r="E413" s="11" t="s">
        <v>356</v>
      </c>
      <c r="F413" s="11" t="s">
        <v>362</v>
      </c>
      <c r="G413" s="11" t="s">
        <v>31</v>
      </c>
      <c r="H413" s="11"/>
      <c r="I413" s="11"/>
      <c r="J413" s="11" t="s">
        <v>343</v>
      </c>
      <c r="O413" s="1" t="n">
        <f aca="false">'Behovsmodell (75p)'!$B$62</f>
        <v>85559</v>
      </c>
      <c r="P413" s="1" t="n">
        <f aca="false">('Behovsmodell (75p)'!$B$62)/12</f>
        <v>7129.91666666667</v>
      </c>
    </row>
    <row r="414" customFormat="false" ht="15" hidden="false" customHeight="true" outlineLevel="0" collapsed="false">
      <c r="A414" s="11" t="s">
        <v>1065</v>
      </c>
      <c r="B414" s="11"/>
      <c r="C414" s="11" t="s">
        <v>339</v>
      </c>
      <c r="D414" s="11" t="s">
        <v>340</v>
      </c>
      <c r="E414" s="11" t="s">
        <v>341</v>
      </c>
      <c r="F414" s="11"/>
      <c r="G414" s="11"/>
      <c r="H414" s="11" t="s">
        <v>340</v>
      </c>
      <c r="I414" s="11"/>
      <c r="J414" s="11" t="s">
        <v>343</v>
      </c>
    </row>
    <row r="415" customFormat="false" ht="15" hidden="false" customHeight="true" outlineLevel="0" collapsed="false">
      <c r="A415" s="11" t="s">
        <v>1066</v>
      </c>
      <c r="B415" s="11" t="s">
        <v>405</v>
      </c>
      <c r="C415" s="11" t="s">
        <v>346</v>
      </c>
      <c r="D415" s="11"/>
      <c r="E415" s="11" t="s">
        <v>356</v>
      </c>
      <c r="F415" s="11" t="s">
        <v>447</v>
      </c>
      <c r="G415" s="11"/>
      <c r="H415" s="11"/>
      <c r="I415" s="11"/>
      <c r="J415" s="11" t="s">
        <v>343</v>
      </c>
    </row>
    <row r="416" customFormat="false" ht="15" hidden="false" customHeight="true" outlineLevel="0" collapsed="false">
      <c r="A416" s="11" t="s">
        <v>1067</v>
      </c>
      <c r="B416" s="11"/>
      <c r="C416" s="11" t="s">
        <v>339</v>
      </c>
      <c r="D416" s="11" t="s">
        <v>347</v>
      </c>
      <c r="E416" s="11" t="s">
        <v>396</v>
      </c>
      <c r="F416" s="11" t="s">
        <v>593</v>
      </c>
      <c r="G416" s="11" t="s">
        <v>31</v>
      </c>
      <c r="H416" s="11"/>
      <c r="I416" s="11"/>
      <c r="J416" s="11" t="s">
        <v>343</v>
      </c>
      <c r="O416" s="1" t="n">
        <f aca="false">'Behovsmodell (75p)'!$B$62</f>
        <v>85559</v>
      </c>
      <c r="P416" s="1" t="n">
        <f aca="false">('Behovsmodell (75p)'!$B$62)/12</f>
        <v>7129.91666666667</v>
      </c>
    </row>
    <row r="417" customFormat="false" ht="15" hidden="false" customHeight="true" outlineLevel="0" collapsed="false">
      <c r="A417" s="11" t="s">
        <v>1068</v>
      </c>
      <c r="B417" s="11" t="s">
        <v>1069</v>
      </c>
      <c r="C417" s="11" t="s">
        <v>414</v>
      </c>
      <c r="D417" s="11"/>
      <c r="E417" s="11" t="s">
        <v>396</v>
      </c>
      <c r="F417" s="11"/>
      <c r="G417" s="11"/>
      <c r="H417" s="11"/>
      <c r="I417" s="11"/>
      <c r="J417" s="11" t="s">
        <v>343</v>
      </c>
    </row>
    <row r="418" customFormat="false" ht="15" hidden="false" customHeight="true" outlineLevel="0" collapsed="false">
      <c r="A418" s="11" t="s">
        <v>1070</v>
      </c>
      <c r="B418" s="11" t="s">
        <v>1071</v>
      </c>
      <c r="C418" s="11" t="s">
        <v>536</v>
      </c>
      <c r="D418" s="11" t="s">
        <v>347</v>
      </c>
      <c r="E418" s="11" t="s">
        <v>356</v>
      </c>
      <c r="F418" s="11" t="s">
        <v>358</v>
      </c>
      <c r="G418" s="11" t="s">
        <v>31</v>
      </c>
      <c r="H418" s="11"/>
      <c r="I418" s="11"/>
      <c r="J418" s="11" t="s">
        <v>343</v>
      </c>
      <c r="O418" s="1" t="n">
        <f aca="false">'Behovsmodell (75p)'!$B$62</f>
        <v>85559</v>
      </c>
      <c r="P418" s="1" t="n">
        <f aca="false">('Behovsmodell (75p)'!$B$62)/12</f>
        <v>7129.91666666667</v>
      </c>
    </row>
    <row r="419" customFormat="false" ht="15" hidden="false" customHeight="true" outlineLevel="0" collapsed="false">
      <c r="A419" s="11" t="s">
        <v>1072</v>
      </c>
      <c r="B419" s="11" t="s">
        <v>1054</v>
      </c>
      <c r="C419" s="11" t="s">
        <v>414</v>
      </c>
      <c r="D419" s="11" t="s">
        <v>352</v>
      </c>
      <c r="E419" s="11"/>
      <c r="F419" s="11" t="s">
        <v>807</v>
      </c>
      <c r="G419" s="11" t="s">
        <v>84</v>
      </c>
      <c r="H419" s="11"/>
      <c r="I419" s="11"/>
      <c r="J419" s="11" t="s">
        <v>343</v>
      </c>
      <c r="K419" s="1" t="s">
        <v>1073</v>
      </c>
      <c r="L419" s="1" t="s">
        <v>1074</v>
      </c>
      <c r="M419" s="1" t="s">
        <v>1075</v>
      </c>
      <c r="N419" s="1" t="s">
        <v>1076</v>
      </c>
      <c r="O419" s="1" t="n">
        <f aca="false">'Behovsmodell (75p)'!$B$68</f>
        <v>330040.65</v>
      </c>
      <c r="P419" s="1" t="n">
        <f aca="false">('Behovsmodell (75p)'!$B$68)/12</f>
        <v>27503.3875</v>
      </c>
    </row>
    <row r="420" customFormat="false" ht="15" hidden="false" customHeight="true" outlineLevel="0" collapsed="false">
      <c r="A420" s="11" t="s">
        <v>1077</v>
      </c>
      <c r="B420" s="11" t="s">
        <v>908</v>
      </c>
      <c r="C420" s="11" t="s">
        <v>381</v>
      </c>
      <c r="D420" s="11"/>
      <c r="E420" s="11" t="s">
        <v>396</v>
      </c>
      <c r="F420" s="11" t="s">
        <v>656</v>
      </c>
      <c r="G420" s="11"/>
      <c r="H420" s="11"/>
      <c r="I420" s="11"/>
      <c r="J420" s="11" t="s">
        <v>343</v>
      </c>
    </row>
    <row r="421" customFormat="false" ht="15" hidden="false" customHeight="true" outlineLevel="0" collapsed="false">
      <c r="A421" s="11" t="s">
        <v>1078</v>
      </c>
      <c r="B421" s="11" t="s">
        <v>1079</v>
      </c>
      <c r="C421" s="11" t="s">
        <v>414</v>
      </c>
      <c r="D421" s="11" t="s">
        <v>366</v>
      </c>
      <c r="E421" s="11" t="s">
        <v>341</v>
      </c>
      <c r="F421" s="11"/>
      <c r="G421" s="11"/>
      <c r="H421" s="11" t="s">
        <v>366</v>
      </c>
      <c r="I421" s="11"/>
      <c r="J421" s="11" t="s">
        <v>343</v>
      </c>
    </row>
    <row r="422" customFormat="false" ht="15" hidden="false" customHeight="true" outlineLevel="0" collapsed="false">
      <c r="A422" s="11" t="s">
        <v>1080</v>
      </c>
      <c r="B422" s="11"/>
      <c r="C422" s="11" t="s">
        <v>346</v>
      </c>
      <c r="D422" s="11"/>
      <c r="E422" s="11" t="s">
        <v>356</v>
      </c>
      <c r="F422" s="11"/>
      <c r="G422" s="11"/>
      <c r="H422" s="11"/>
      <c r="I422" s="11"/>
      <c r="J422" s="11" t="s">
        <v>343</v>
      </c>
    </row>
    <row r="423" customFormat="false" ht="15" hidden="false" customHeight="true" outlineLevel="0" collapsed="false">
      <c r="A423" s="11" t="s">
        <v>1081</v>
      </c>
      <c r="B423" s="11"/>
      <c r="C423" s="11" t="s">
        <v>351</v>
      </c>
      <c r="D423" s="11" t="s">
        <v>347</v>
      </c>
      <c r="E423" s="11" t="s">
        <v>356</v>
      </c>
      <c r="F423" s="11"/>
      <c r="G423" s="11" t="s">
        <v>31</v>
      </c>
      <c r="H423" s="11"/>
      <c r="I423" s="11"/>
      <c r="J423" s="11" t="s">
        <v>343</v>
      </c>
      <c r="O423" s="1" t="n">
        <f aca="false">'Behovsmodell (75p)'!$B$62</f>
        <v>85559</v>
      </c>
      <c r="P423" s="1" t="n">
        <f aca="false">('Behovsmodell (75p)'!$B$62)/12</f>
        <v>7129.91666666667</v>
      </c>
    </row>
    <row r="424" customFormat="false" ht="15" hidden="false" customHeight="true" outlineLevel="0" collapsed="false">
      <c r="A424" s="11" t="s">
        <v>1082</v>
      </c>
      <c r="B424" s="11"/>
      <c r="C424" s="11" t="s">
        <v>245</v>
      </c>
      <c r="D424" s="11"/>
      <c r="E424" s="11" t="s">
        <v>396</v>
      </c>
      <c r="F424" s="11" t="s">
        <v>971</v>
      </c>
      <c r="G424" s="11"/>
      <c r="H424" s="11"/>
      <c r="I424" s="11"/>
      <c r="J424" s="11" t="s">
        <v>343</v>
      </c>
    </row>
    <row r="425" customFormat="false" ht="15" hidden="false" customHeight="true" outlineLevel="0" collapsed="false">
      <c r="A425" s="11" t="s">
        <v>1083</v>
      </c>
      <c r="B425" s="11" t="s">
        <v>403</v>
      </c>
      <c r="C425" s="11" t="s">
        <v>403</v>
      </c>
      <c r="D425" s="11" t="s">
        <v>375</v>
      </c>
      <c r="E425" s="11" t="s">
        <v>396</v>
      </c>
      <c r="F425" s="11" t="s">
        <v>937</v>
      </c>
      <c r="G425" s="11" t="s">
        <v>68</v>
      </c>
      <c r="H425" s="11"/>
      <c r="I425" s="11"/>
      <c r="J425" s="11" t="s">
        <v>343</v>
      </c>
      <c r="O425" s="1" t="n">
        <f aca="false">'Behovsmodell (75p)'!$B$66</f>
        <v>206427.05</v>
      </c>
      <c r="P425" s="1" t="n">
        <f aca="false">('Behovsmodell (75p)'!$B$66)/12</f>
        <v>17202.2541666667</v>
      </c>
    </row>
    <row r="426" customFormat="false" ht="15" hidden="false" customHeight="true" outlineLevel="0" collapsed="false">
      <c r="A426" s="11" t="s">
        <v>1084</v>
      </c>
      <c r="B426" s="11" t="s">
        <v>403</v>
      </c>
      <c r="C426" s="11" t="s">
        <v>403</v>
      </c>
      <c r="D426" s="11" t="s">
        <v>366</v>
      </c>
      <c r="E426" s="11" t="s">
        <v>341</v>
      </c>
      <c r="F426" s="11"/>
      <c r="G426" s="11"/>
      <c r="H426" s="11" t="s">
        <v>366</v>
      </c>
      <c r="I426" s="11"/>
      <c r="J426" s="11" t="s">
        <v>343</v>
      </c>
      <c r="K426" s="1" t="s">
        <v>1085</v>
      </c>
      <c r="L426" s="1" t="s">
        <v>1086</v>
      </c>
      <c r="N426" s="1" t="s">
        <v>1087</v>
      </c>
    </row>
    <row r="427" customFormat="false" ht="15" hidden="false" customHeight="true" outlineLevel="0" collapsed="false">
      <c r="A427" s="11" t="s">
        <v>1088</v>
      </c>
      <c r="B427" s="11" t="s">
        <v>536</v>
      </c>
      <c r="C427" s="11" t="s">
        <v>536</v>
      </c>
      <c r="D427" s="11" t="s">
        <v>347</v>
      </c>
      <c r="E427" s="11" t="s">
        <v>396</v>
      </c>
      <c r="F427" s="11" t="s">
        <v>593</v>
      </c>
      <c r="G427" s="11" t="s">
        <v>31</v>
      </c>
      <c r="H427" s="11"/>
      <c r="I427" s="11"/>
      <c r="J427" s="11" t="s">
        <v>343</v>
      </c>
      <c r="O427" s="1" t="n">
        <f aca="false">'Behovsmodell (75p)'!$B$62</f>
        <v>85559</v>
      </c>
      <c r="P427" s="1" t="n">
        <f aca="false">('Behovsmodell (75p)'!$B$62)/12</f>
        <v>7129.91666666667</v>
      </c>
    </row>
    <row r="428" customFormat="false" ht="15" hidden="false" customHeight="true" outlineLevel="0" collapsed="false">
      <c r="A428" s="11" t="s">
        <v>1089</v>
      </c>
      <c r="B428" s="11" t="s">
        <v>449</v>
      </c>
      <c r="C428" s="11" t="s">
        <v>245</v>
      </c>
      <c r="D428" s="11"/>
      <c r="E428" s="11" t="s">
        <v>356</v>
      </c>
      <c r="F428" s="11"/>
      <c r="G428" s="11"/>
      <c r="H428" s="11"/>
      <c r="I428" s="11"/>
      <c r="J428" s="11" t="s">
        <v>343</v>
      </c>
    </row>
    <row r="429" customFormat="false" ht="15" hidden="false" customHeight="true" outlineLevel="0" collapsed="false">
      <c r="A429" s="11" t="s">
        <v>1090</v>
      </c>
      <c r="B429" s="11" t="s">
        <v>388</v>
      </c>
      <c r="C429" s="11" t="s">
        <v>388</v>
      </c>
      <c r="D429" s="11" t="s">
        <v>347</v>
      </c>
      <c r="E429" s="11"/>
      <c r="F429" s="11"/>
      <c r="G429" s="11" t="s">
        <v>31</v>
      </c>
      <c r="H429" s="11"/>
      <c r="I429" s="11"/>
      <c r="J429" s="11" t="s">
        <v>343</v>
      </c>
      <c r="O429" s="1" t="n">
        <f aca="false">'Behovsmodell (75p)'!$B$62</f>
        <v>85559</v>
      </c>
      <c r="P429" s="1" t="n">
        <f aca="false">('Behovsmodell (75p)'!$B$62)/12</f>
        <v>7129.91666666667</v>
      </c>
    </row>
    <row r="430" customFormat="false" ht="15" hidden="false" customHeight="true" outlineLevel="0" collapsed="false">
      <c r="A430" s="11" t="s">
        <v>1091</v>
      </c>
      <c r="B430" s="11"/>
      <c r="C430" s="11" t="s">
        <v>339</v>
      </c>
      <c r="D430" s="11" t="s">
        <v>347</v>
      </c>
      <c r="E430" s="11"/>
      <c r="F430" s="11" t="s">
        <v>441</v>
      </c>
      <c r="G430" s="11" t="s">
        <v>31</v>
      </c>
      <c r="H430" s="11"/>
      <c r="I430" s="11"/>
      <c r="J430" s="11" t="s">
        <v>343</v>
      </c>
      <c r="O430" s="1" t="n">
        <f aca="false">'Behovsmodell (75p)'!$B$62</f>
        <v>85559</v>
      </c>
      <c r="P430" s="1" t="n">
        <f aca="false">('Behovsmodell (75p)'!$B$62)/12</f>
        <v>7129.91666666667</v>
      </c>
    </row>
    <row r="431" customFormat="false" ht="15" hidden="false" customHeight="true" outlineLevel="0" collapsed="false">
      <c r="A431" s="11" t="s">
        <v>1092</v>
      </c>
      <c r="B431" s="11"/>
      <c r="C431" s="11" t="s">
        <v>351</v>
      </c>
      <c r="D431" s="11" t="s">
        <v>366</v>
      </c>
      <c r="E431" s="11" t="s">
        <v>341</v>
      </c>
      <c r="F431" s="11"/>
      <c r="G431" s="11"/>
      <c r="H431" s="11" t="s">
        <v>366</v>
      </c>
      <c r="I431" s="11"/>
      <c r="J431" s="11" t="s">
        <v>343</v>
      </c>
    </row>
    <row r="432" customFormat="false" ht="15" hidden="false" customHeight="true" outlineLevel="0" collapsed="false">
      <c r="A432" s="11" t="s">
        <v>1093</v>
      </c>
      <c r="B432" s="11"/>
      <c r="C432" s="11" t="s">
        <v>245</v>
      </c>
      <c r="D432" s="11"/>
      <c r="E432" s="11"/>
      <c r="F432" s="11" t="s">
        <v>999</v>
      </c>
      <c r="G432" s="11"/>
      <c r="H432" s="11"/>
      <c r="I432" s="11"/>
      <c r="J432" s="11" t="s">
        <v>343</v>
      </c>
    </row>
    <row r="433" customFormat="false" ht="15" hidden="false" customHeight="true" outlineLevel="0" collapsed="false">
      <c r="A433" s="11" t="s">
        <v>1094</v>
      </c>
      <c r="B433" s="11" t="s">
        <v>569</v>
      </c>
      <c r="C433" s="11" t="s">
        <v>388</v>
      </c>
      <c r="D433" s="11" t="s">
        <v>340</v>
      </c>
      <c r="E433" s="11" t="s">
        <v>341</v>
      </c>
      <c r="F433" s="11"/>
      <c r="G433" s="11"/>
      <c r="H433" s="11" t="s">
        <v>340</v>
      </c>
      <c r="I433" s="11"/>
      <c r="J433" s="11" t="s">
        <v>343</v>
      </c>
    </row>
    <row r="434" customFormat="false" ht="15" hidden="false" customHeight="true" outlineLevel="0" collapsed="false">
      <c r="A434" s="11" t="s">
        <v>1095</v>
      </c>
      <c r="B434" s="11"/>
      <c r="C434" s="11" t="s">
        <v>346</v>
      </c>
      <c r="D434" s="11"/>
      <c r="E434" s="11" t="s">
        <v>356</v>
      </c>
      <c r="F434" s="11"/>
      <c r="G434" s="11"/>
      <c r="H434" s="11"/>
      <c r="I434" s="11"/>
      <c r="J434" s="11" t="s">
        <v>343</v>
      </c>
      <c r="K434" s="1" t="s">
        <v>1096</v>
      </c>
      <c r="N434" s="1" t="s">
        <v>1097</v>
      </c>
    </row>
    <row r="435" customFormat="false" ht="15" hidden="false" customHeight="true" outlineLevel="0" collapsed="false">
      <c r="A435" s="11" t="s">
        <v>1098</v>
      </c>
      <c r="B435" s="11" t="s">
        <v>663</v>
      </c>
      <c r="C435" s="11" t="s">
        <v>414</v>
      </c>
      <c r="D435" s="11"/>
      <c r="E435" s="11" t="s">
        <v>356</v>
      </c>
      <c r="F435" s="11" t="s">
        <v>1049</v>
      </c>
      <c r="G435" s="11"/>
      <c r="H435" s="11"/>
      <c r="I435" s="11"/>
      <c r="J435" s="11" t="s">
        <v>343</v>
      </c>
      <c r="N435" s="1" t="s">
        <v>1099</v>
      </c>
    </row>
    <row r="436" customFormat="false" ht="15" hidden="false" customHeight="true" outlineLevel="0" collapsed="false">
      <c r="A436" s="11" t="s">
        <v>1100</v>
      </c>
      <c r="B436" s="11"/>
      <c r="C436" s="11" t="s">
        <v>355</v>
      </c>
      <c r="D436" s="11" t="s">
        <v>395</v>
      </c>
      <c r="E436" s="11" t="s">
        <v>396</v>
      </c>
      <c r="F436" s="11" t="s">
        <v>1101</v>
      </c>
      <c r="G436" s="11" t="s">
        <v>129</v>
      </c>
      <c r="H436" s="11"/>
      <c r="I436" s="11"/>
      <c r="J436" s="11" t="s">
        <v>343</v>
      </c>
      <c r="O436" s="1" t="n">
        <f aca="false">'Behovsmodell (75p)'!$B$76</f>
        <v>111099</v>
      </c>
      <c r="P436" s="1" t="n">
        <f aca="false">('Behovsmodell (75p)'!$B$76)/12</f>
        <v>9258.25</v>
      </c>
    </row>
    <row r="437" customFormat="false" ht="15" hidden="false" customHeight="true" outlineLevel="0" collapsed="false">
      <c r="A437" s="11" t="s">
        <v>1102</v>
      </c>
      <c r="B437" s="11"/>
      <c r="C437" s="11" t="s">
        <v>355</v>
      </c>
      <c r="D437" s="11" t="s">
        <v>366</v>
      </c>
      <c r="E437" s="11" t="s">
        <v>341</v>
      </c>
      <c r="F437" s="11" t="s">
        <v>362</v>
      </c>
      <c r="G437" s="11"/>
      <c r="H437" s="11" t="s">
        <v>366</v>
      </c>
      <c r="I437" s="11"/>
      <c r="J437" s="11" t="s">
        <v>343</v>
      </c>
      <c r="K437" s="1" t="s">
        <v>1103</v>
      </c>
      <c r="L437" s="1" t="s">
        <v>1104</v>
      </c>
      <c r="M437" s="1" t="s">
        <v>1105</v>
      </c>
      <c r="N437" s="1" t="s">
        <v>1106</v>
      </c>
    </row>
    <row r="438" customFormat="false" ht="15" hidden="false" customHeight="true" outlineLevel="0" collapsed="false">
      <c r="A438" s="11" t="s">
        <v>1107</v>
      </c>
      <c r="B438" s="11"/>
      <c r="C438" s="11" t="s">
        <v>355</v>
      </c>
      <c r="D438" s="11" t="s">
        <v>1108</v>
      </c>
      <c r="E438" s="11" t="s">
        <v>356</v>
      </c>
      <c r="F438" s="11" t="s">
        <v>362</v>
      </c>
      <c r="G438" s="11" t="s">
        <v>31</v>
      </c>
      <c r="H438" s="11" t="s">
        <v>366</v>
      </c>
      <c r="I438" s="11"/>
      <c r="J438" s="11" t="s">
        <v>343</v>
      </c>
      <c r="K438" s="1" t="s">
        <v>1103</v>
      </c>
      <c r="L438" s="1" t="s">
        <v>1104</v>
      </c>
      <c r="M438" s="1" t="s">
        <v>1105</v>
      </c>
      <c r="N438" s="1" t="s">
        <v>1106</v>
      </c>
      <c r="O438" s="1" t="n">
        <f aca="false">'Behovsmodell (75p)'!$B$62</f>
        <v>85559</v>
      </c>
      <c r="P438" s="1" t="n">
        <f aca="false">('Behovsmodell (75p)'!$B$62)/12</f>
        <v>7129.91666666667</v>
      </c>
    </row>
    <row r="439" customFormat="false" ht="15" hidden="false" customHeight="true" outlineLevel="0" collapsed="false">
      <c r="A439" s="11" t="s">
        <v>1109</v>
      </c>
      <c r="B439" s="11" t="s">
        <v>1110</v>
      </c>
      <c r="C439" s="11" t="s">
        <v>355</v>
      </c>
      <c r="D439" s="11" t="s">
        <v>347</v>
      </c>
      <c r="E439" s="11" t="s">
        <v>356</v>
      </c>
      <c r="F439" s="11" t="s">
        <v>516</v>
      </c>
      <c r="G439" s="11" t="s">
        <v>31</v>
      </c>
      <c r="H439" s="11"/>
      <c r="I439" s="11"/>
      <c r="J439" s="11" t="s">
        <v>343</v>
      </c>
      <c r="K439" s="1" t="s">
        <v>1111</v>
      </c>
      <c r="L439" s="1" t="s">
        <v>1112</v>
      </c>
      <c r="M439" s="1" t="s">
        <v>1113</v>
      </c>
      <c r="N439" s="1" t="s">
        <v>1114</v>
      </c>
      <c r="O439" s="1" t="n">
        <f aca="false">'Behovsmodell (75p)'!$B$62</f>
        <v>85559</v>
      </c>
      <c r="P439" s="1" t="n">
        <f aca="false">('Behovsmodell (75p)'!$B$62)/12</f>
        <v>7129.91666666667</v>
      </c>
    </row>
    <row r="440" customFormat="false" ht="15" hidden="false" customHeight="true" outlineLevel="0" collapsed="false">
      <c r="A440" s="11" t="s">
        <v>1115</v>
      </c>
      <c r="B440" s="11"/>
      <c r="C440" s="11" t="s">
        <v>355</v>
      </c>
      <c r="D440" s="11" t="s">
        <v>340</v>
      </c>
      <c r="E440" s="11" t="s">
        <v>341</v>
      </c>
      <c r="F440" s="11" t="s">
        <v>358</v>
      </c>
      <c r="G440" s="11"/>
      <c r="H440" s="11" t="s">
        <v>340</v>
      </c>
      <c r="I440" s="11"/>
      <c r="J440" s="11" t="s">
        <v>343</v>
      </c>
    </row>
    <row r="441" customFormat="false" ht="15" hidden="false" customHeight="true" outlineLevel="0" collapsed="false">
      <c r="A441" s="11" t="s">
        <v>1116</v>
      </c>
      <c r="B441" s="11"/>
      <c r="C441" s="11" t="s">
        <v>597</v>
      </c>
      <c r="D441" s="11"/>
      <c r="E441" s="11" t="s">
        <v>356</v>
      </c>
      <c r="F441" s="11" t="s">
        <v>1117</v>
      </c>
      <c r="G441" s="11"/>
      <c r="H441" s="11"/>
      <c r="I441" s="11"/>
      <c r="J441" s="11" t="s">
        <v>343</v>
      </c>
    </row>
    <row r="442" customFormat="false" ht="15" hidden="false" customHeight="true" outlineLevel="0" collapsed="false">
      <c r="A442" s="11" t="s">
        <v>1118</v>
      </c>
      <c r="B442" s="11"/>
      <c r="C442" s="11" t="s">
        <v>339</v>
      </c>
      <c r="D442" s="11"/>
      <c r="E442" s="11" t="s">
        <v>356</v>
      </c>
      <c r="F442" s="11"/>
      <c r="G442" s="11"/>
      <c r="H442" s="11"/>
      <c r="I442" s="11"/>
      <c r="J442" s="11" t="s">
        <v>343</v>
      </c>
    </row>
    <row r="443" customFormat="false" ht="15" hidden="false" customHeight="true" outlineLevel="0" collapsed="false">
      <c r="A443" s="11" t="s">
        <v>1119</v>
      </c>
      <c r="B443" s="11" t="s">
        <v>403</v>
      </c>
      <c r="C443" s="11" t="s">
        <v>403</v>
      </c>
      <c r="D443" s="11"/>
      <c r="E443" s="11" t="s">
        <v>396</v>
      </c>
      <c r="F443" s="11"/>
      <c r="G443" s="11"/>
      <c r="H443" s="11"/>
      <c r="I443" s="11"/>
      <c r="J443" s="11" t="s">
        <v>343</v>
      </c>
    </row>
    <row r="444" customFormat="false" ht="15" hidden="false" customHeight="true" outlineLevel="0" collapsed="false">
      <c r="A444" s="11" t="s">
        <v>1120</v>
      </c>
      <c r="B444" s="11" t="s">
        <v>1121</v>
      </c>
      <c r="C444" s="11" t="s">
        <v>339</v>
      </c>
      <c r="D444" s="11"/>
      <c r="E444" s="11" t="s">
        <v>356</v>
      </c>
      <c r="F444" s="11"/>
      <c r="G444" s="11"/>
      <c r="H444" s="11"/>
      <c r="I444" s="11"/>
      <c r="J444" s="11" t="s">
        <v>343</v>
      </c>
    </row>
    <row r="445" customFormat="false" ht="15" hidden="false" customHeight="true" outlineLevel="0" collapsed="false">
      <c r="A445" s="11" t="s">
        <v>1122</v>
      </c>
      <c r="B445" s="11"/>
      <c r="C445" s="11" t="s">
        <v>361</v>
      </c>
      <c r="D445" s="11"/>
      <c r="E445" s="11" t="s">
        <v>356</v>
      </c>
      <c r="F445" s="11"/>
      <c r="G445" s="11"/>
      <c r="H445" s="11"/>
      <c r="I445" s="11"/>
      <c r="J445" s="11" t="s">
        <v>343</v>
      </c>
    </row>
    <row r="446" customFormat="false" ht="15" hidden="false" customHeight="true" outlineLevel="0" collapsed="false">
      <c r="A446" s="11" t="s">
        <v>1123</v>
      </c>
      <c r="B446" s="11"/>
      <c r="C446" s="11" t="s">
        <v>339</v>
      </c>
      <c r="D446" s="11" t="s">
        <v>375</v>
      </c>
      <c r="E446" s="11" t="s">
        <v>356</v>
      </c>
      <c r="F446" s="11" t="s">
        <v>358</v>
      </c>
      <c r="G446" s="11" t="s">
        <v>68</v>
      </c>
      <c r="H446" s="11"/>
      <c r="I446" s="11"/>
      <c r="J446" s="11" t="s">
        <v>343</v>
      </c>
      <c r="N446" s="1" t="s">
        <v>371</v>
      </c>
      <c r="O446" s="1" t="n">
        <f aca="false">'Behovsmodell (75p)'!$B$66</f>
        <v>206427.05</v>
      </c>
      <c r="P446" s="1" t="n">
        <f aca="false">('Behovsmodell (75p)'!$B$66)/12</f>
        <v>17202.2541666667</v>
      </c>
    </row>
    <row r="447" customFormat="false" ht="15" hidden="false" customHeight="true" outlineLevel="0" collapsed="false">
      <c r="A447" s="11" t="s">
        <v>1124</v>
      </c>
      <c r="B447" s="11"/>
      <c r="C447" s="11" t="s">
        <v>355</v>
      </c>
      <c r="D447" s="11" t="s">
        <v>347</v>
      </c>
      <c r="E447" s="11"/>
      <c r="F447" s="11"/>
      <c r="G447" s="11" t="s">
        <v>31</v>
      </c>
      <c r="H447" s="11"/>
      <c r="I447" s="11"/>
      <c r="J447" s="11" t="s">
        <v>343</v>
      </c>
      <c r="O447" s="1" t="n">
        <f aca="false">'Behovsmodell (75p)'!$B$62</f>
        <v>85559</v>
      </c>
      <c r="P447" s="1" t="n">
        <f aca="false">('Behovsmodell (75p)'!$B$62)/12</f>
        <v>7129.91666666667</v>
      </c>
    </row>
    <row r="448" customFormat="false" ht="15" hidden="false" customHeight="true" outlineLevel="0" collapsed="false">
      <c r="A448" s="11" t="s">
        <v>1125</v>
      </c>
      <c r="B448" s="11"/>
      <c r="C448" s="11" t="s">
        <v>361</v>
      </c>
      <c r="D448" s="11" t="s">
        <v>366</v>
      </c>
      <c r="E448" s="11" t="s">
        <v>341</v>
      </c>
      <c r="F448" s="11"/>
      <c r="G448" s="11"/>
      <c r="H448" s="11" t="s">
        <v>366</v>
      </c>
      <c r="I448" s="11"/>
      <c r="J448" s="11" t="s">
        <v>343</v>
      </c>
    </row>
    <row r="449" customFormat="false" ht="15" hidden="false" customHeight="true" outlineLevel="0" collapsed="false">
      <c r="A449" s="11" t="s">
        <v>1126</v>
      </c>
      <c r="B449" s="11" t="s">
        <v>695</v>
      </c>
      <c r="C449" s="11" t="s">
        <v>351</v>
      </c>
      <c r="D449" s="11" t="s">
        <v>395</v>
      </c>
      <c r="E449" s="11" t="s">
        <v>396</v>
      </c>
      <c r="F449" s="11" t="s">
        <v>447</v>
      </c>
      <c r="G449" s="11" t="s">
        <v>129</v>
      </c>
      <c r="H449" s="11"/>
      <c r="I449" s="11"/>
      <c r="J449" s="11" t="s">
        <v>343</v>
      </c>
      <c r="O449" s="1" t="n">
        <f aca="false">'Behovsmodell (75p)'!$B$76</f>
        <v>111099</v>
      </c>
      <c r="P449" s="1" t="n">
        <f aca="false">('Behovsmodell (75p)'!$B$76)/12</f>
        <v>9258.25</v>
      </c>
    </row>
    <row r="450" customFormat="false" ht="15" hidden="false" customHeight="true" outlineLevel="0" collapsed="false">
      <c r="A450" s="11" t="s">
        <v>1127</v>
      </c>
      <c r="B450" s="11" t="s">
        <v>1128</v>
      </c>
      <c r="C450" s="11" t="s">
        <v>355</v>
      </c>
      <c r="D450" s="11" t="s">
        <v>340</v>
      </c>
      <c r="E450" s="11" t="s">
        <v>341</v>
      </c>
      <c r="F450" s="11"/>
      <c r="G450" s="11"/>
      <c r="H450" s="11" t="s">
        <v>340</v>
      </c>
      <c r="I450" s="11"/>
      <c r="J450" s="11" t="s">
        <v>343</v>
      </c>
    </row>
    <row r="451" customFormat="false" ht="15" hidden="false" customHeight="true" outlineLevel="0" collapsed="false">
      <c r="A451" s="11" t="s">
        <v>1129</v>
      </c>
      <c r="B451" s="11" t="s">
        <v>345</v>
      </c>
      <c r="C451" s="11" t="s">
        <v>346</v>
      </c>
      <c r="D451" s="11" t="s">
        <v>375</v>
      </c>
      <c r="E451" s="11"/>
      <c r="F451" s="11" t="s">
        <v>1130</v>
      </c>
      <c r="G451" s="11" t="s">
        <v>68</v>
      </c>
      <c r="H451" s="11"/>
      <c r="I451" s="11"/>
      <c r="J451" s="11" t="s">
        <v>343</v>
      </c>
      <c r="O451" s="1" t="n">
        <f aca="false">'Behovsmodell (75p)'!$B$66</f>
        <v>206427.05</v>
      </c>
      <c r="P451" s="1" t="n">
        <f aca="false">('Behovsmodell (75p)'!$B$66)/12</f>
        <v>17202.2541666667</v>
      </c>
    </row>
    <row r="452" customFormat="false" ht="15" hidden="false" customHeight="true" outlineLevel="0" collapsed="false">
      <c r="A452" s="11" t="s">
        <v>1131</v>
      </c>
      <c r="B452" s="11" t="s">
        <v>413</v>
      </c>
      <c r="C452" s="11" t="s">
        <v>414</v>
      </c>
      <c r="D452" s="11"/>
      <c r="E452" s="11" t="s">
        <v>356</v>
      </c>
      <c r="F452" s="11"/>
      <c r="G452" s="11"/>
      <c r="H452" s="11"/>
      <c r="I452" s="11"/>
      <c r="J452" s="11" t="s">
        <v>343</v>
      </c>
    </row>
    <row r="453" customFormat="false" ht="15" hidden="false" customHeight="true" outlineLevel="0" collapsed="false">
      <c r="A453" s="11" t="s">
        <v>1132</v>
      </c>
      <c r="B453" s="11" t="s">
        <v>481</v>
      </c>
      <c r="C453" s="11" t="s">
        <v>457</v>
      </c>
      <c r="D453" s="11"/>
      <c r="E453" s="11" t="s">
        <v>356</v>
      </c>
      <c r="F453" s="11" t="s">
        <v>358</v>
      </c>
      <c r="G453" s="11"/>
      <c r="H453" s="11"/>
      <c r="I453" s="11"/>
      <c r="J453" s="11" t="s">
        <v>343</v>
      </c>
      <c r="N453" s="1" t="s">
        <v>371</v>
      </c>
    </row>
    <row r="454" customFormat="false" ht="15" hidden="false" customHeight="true" outlineLevel="0" collapsed="false">
      <c r="A454" s="11" t="s">
        <v>1133</v>
      </c>
      <c r="B454" s="11"/>
      <c r="C454" s="11" t="s">
        <v>361</v>
      </c>
      <c r="D454" s="11"/>
      <c r="E454" s="11" t="s">
        <v>356</v>
      </c>
      <c r="F454" s="11" t="s">
        <v>539</v>
      </c>
      <c r="G454" s="11"/>
      <c r="H454" s="11"/>
      <c r="I454" s="11"/>
      <c r="J454" s="11" t="s">
        <v>343</v>
      </c>
    </row>
    <row r="455" customFormat="false" ht="15" hidden="false" customHeight="true" outlineLevel="0" collapsed="false">
      <c r="A455" s="11" t="s">
        <v>1134</v>
      </c>
      <c r="B455" s="11"/>
      <c r="C455" s="11" t="s">
        <v>245</v>
      </c>
      <c r="D455" s="11"/>
      <c r="E455" s="11" t="s">
        <v>356</v>
      </c>
      <c r="F455" s="11" t="s">
        <v>539</v>
      </c>
      <c r="G455" s="11"/>
      <c r="H455" s="11"/>
      <c r="I455" s="11"/>
      <c r="J455" s="11" t="s">
        <v>343</v>
      </c>
      <c r="K455" s="1" t="s">
        <v>1135</v>
      </c>
      <c r="L455" s="1" t="s">
        <v>1136</v>
      </c>
      <c r="M455" s="1" t="s">
        <v>1137</v>
      </c>
      <c r="N455" s="1" t="s">
        <v>1138</v>
      </c>
    </row>
    <row r="456" customFormat="false" ht="15" hidden="false" customHeight="true" outlineLevel="0" collapsed="false">
      <c r="A456" s="11" t="s">
        <v>1139</v>
      </c>
      <c r="B456" s="11" t="s">
        <v>449</v>
      </c>
      <c r="C456" s="11" t="s">
        <v>245</v>
      </c>
      <c r="D456" s="11"/>
      <c r="E456" s="11" t="s">
        <v>356</v>
      </c>
      <c r="F456" s="11" t="s">
        <v>358</v>
      </c>
      <c r="G456" s="11"/>
      <c r="H456" s="11"/>
      <c r="I456" s="11"/>
      <c r="J456" s="11" t="s">
        <v>343</v>
      </c>
    </row>
    <row r="457" customFormat="false" ht="15" hidden="false" customHeight="true" outlineLevel="0" collapsed="false">
      <c r="A457" s="11" t="s">
        <v>1140</v>
      </c>
      <c r="B457" s="11" t="s">
        <v>449</v>
      </c>
      <c r="C457" s="11" t="s">
        <v>245</v>
      </c>
      <c r="D457" s="11"/>
      <c r="E457" s="11" t="s">
        <v>356</v>
      </c>
      <c r="F457" s="11" t="s">
        <v>362</v>
      </c>
      <c r="G457" s="11"/>
      <c r="H457" s="11"/>
      <c r="I457" s="11"/>
      <c r="J457" s="11" t="s">
        <v>343</v>
      </c>
    </row>
    <row r="458" customFormat="false" ht="15" hidden="false" customHeight="true" outlineLevel="0" collapsed="false">
      <c r="A458" s="11" t="s">
        <v>1141</v>
      </c>
      <c r="B458" s="11"/>
      <c r="C458" s="11" t="s">
        <v>339</v>
      </c>
      <c r="D458" s="11" t="s">
        <v>352</v>
      </c>
      <c r="E458" s="11"/>
      <c r="F458" s="11" t="s">
        <v>915</v>
      </c>
      <c r="G458" s="11" t="s">
        <v>84</v>
      </c>
      <c r="H458" s="11"/>
      <c r="I458" s="11"/>
      <c r="J458" s="11" t="s">
        <v>343</v>
      </c>
      <c r="K458" s="1" t="s">
        <v>1142</v>
      </c>
      <c r="L458" s="1" t="s">
        <v>1143</v>
      </c>
      <c r="M458" s="1" t="s">
        <v>1144</v>
      </c>
      <c r="N458" s="1" t="s">
        <v>1145</v>
      </c>
      <c r="O458" s="1" t="n">
        <f aca="false">'Behovsmodell (75p)'!$B$68</f>
        <v>330040.65</v>
      </c>
      <c r="P458" s="1" t="n">
        <f aca="false">('Behovsmodell (75p)'!$B$68)/12</f>
        <v>27503.3875</v>
      </c>
    </row>
    <row r="459" customFormat="false" ht="15" hidden="false" customHeight="true" outlineLevel="0" collapsed="false">
      <c r="A459" s="11" t="s">
        <v>1146</v>
      </c>
      <c r="B459" s="11" t="s">
        <v>449</v>
      </c>
      <c r="C459" s="11" t="s">
        <v>245</v>
      </c>
      <c r="D459" s="11" t="s">
        <v>347</v>
      </c>
      <c r="E459" s="11"/>
      <c r="F459" s="11" t="s">
        <v>353</v>
      </c>
      <c r="G459" s="11" t="s">
        <v>31</v>
      </c>
      <c r="H459" s="11"/>
      <c r="I459" s="11"/>
      <c r="J459" s="11" t="s">
        <v>343</v>
      </c>
      <c r="O459" s="1" t="n">
        <f aca="false">'Behovsmodell (75p)'!$B$62</f>
        <v>85559</v>
      </c>
      <c r="P459" s="1" t="n">
        <f aca="false">('Behovsmodell (75p)'!$B$62)/12</f>
        <v>7129.91666666667</v>
      </c>
    </row>
    <row r="460" customFormat="false" ht="15" hidden="false" customHeight="true" outlineLevel="0" collapsed="false">
      <c r="A460" s="11" t="s">
        <v>1147</v>
      </c>
      <c r="B460" s="11" t="s">
        <v>345</v>
      </c>
      <c r="C460" s="11" t="s">
        <v>346</v>
      </c>
      <c r="D460" s="11" t="s">
        <v>340</v>
      </c>
      <c r="E460" s="11" t="s">
        <v>341</v>
      </c>
      <c r="F460" s="11" t="s">
        <v>1130</v>
      </c>
      <c r="G460" s="11"/>
      <c r="H460" s="11" t="s">
        <v>340</v>
      </c>
      <c r="I460" s="11"/>
      <c r="J460" s="11" t="s">
        <v>343</v>
      </c>
    </row>
    <row r="461" customFormat="false" ht="15" hidden="false" customHeight="true" outlineLevel="0" collapsed="false">
      <c r="A461" s="11" t="s">
        <v>1148</v>
      </c>
      <c r="B461" s="11"/>
      <c r="C461" s="11" t="s">
        <v>355</v>
      </c>
      <c r="D461" s="11"/>
      <c r="E461" s="11" t="s">
        <v>356</v>
      </c>
      <c r="F461" s="11" t="s">
        <v>353</v>
      </c>
      <c r="G461" s="11"/>
      <c r="H461" s="11"/>
      <c r="I461" s="11"/>
      <c r="J461" s="11" t="s">
        <v>343</v>
      </c>
    </row>
    <row r="462" customFormat="false" ht="15" hidden="false" customHeight="true" outlineLevel="0" collapsed="false">
      <c r="A462" s="11" t="s">
        <v>1149</v>
      </c>
      <c r="B462" s="11"/>
      <c r="C462" s="11" t="s">
        <v>457</v>
      </c>
      <c r="D462" s="11" t="s">
        <v>366</v>
      </c>
      <c r="E462" s="11" t="s">
        <v>341</v>
      </c>
      <c r="F462" s="11"/>
      <c r="G462" s="11"/>
      <c r="H462" s="11" t="s">
        <v>366</v>
      </c>
      <c r="I462" s="11"/>
      <c r="J462" s="11" t="s">
        <v>343</v>
      </c>
    </row>
    <row r="463" customFormat="false" ht="15" hidden="false" customHeight="true" outlineLevel="0" collapsed="false">
      <c r="A463" s="11" t="s">
        <v>1149</v>
      </c>
      <c r="B463" s="11"/>
      <c r="C463" s="11" t="s">
        <v>355</v>
      </c>
      <c r="D463" s="11" t="s">
        <v>366</v>
      </c>
      <c r="E463" s="11" t="s">
        <v>341</v>
      </c>
      <c r="F463" s="11"/>
      <c r="G463" s="11"/>
      <c r="H463" s="11" t="s">
        <v>366</v>
      </c>
      <c r="I463" s="11"/>
      <c r="J463" s="11" t="s">
        <v>343</v>
      </c>
    </row>
    <row r="464" customFormat="false" ht="15" hidden="false" customHeight="true" outlineLevel="0" collapsed="false">
      <c r="A464" s="11" t="s">
        <v>1149</v>
      </c>
      <c r="B464" s="11"/>
      <c r="C464" s="11" t="s">
        <v>339</v>
      </c>
      <c r="D464" s="11" t="s">
        <v>366</v>
      </c>
      <c r="E464" s="11" t="s">
        <v>341</v>
      </c>
      <c r="F464" s="11"/>
      <c r="G464" s="11"/>
      <c r="H464" s="11" t="s">
        <v>366</v>
      </c>
      <c r="I464" s="11"/>
      <c r="J464" s="11" t="s">
        <v>343</v>
      </c>
    </row>
    <row r="465" customFormat="false" ht="15" hidden="false" customHeight="true" outlineLevel="0" collapsed="false">
      <c r="A465" s="11" t="s">
        <v>1150</v>
      </c>
      <c r="B465" s="11"/>
      <c r="C465" s="11" t="s">
        <v>355</v>
      </c>
      <c r="D465" s="11" t="s">
        <v>366</v>
      </c>
      <c r="E465" s="11" t="s">
        <v>341</v>
      </c>
      <c r="F465" s="11"/>
      <c r="G465" s="11"/>
      <c r="H465" s="11" t="s">
        <v>366</v>
      </c>
      <c r="I465" s="11"/>
      <c r="J465" s="11" t="s">
        <v>343</v>
      </c>
    </row>
    <row r="466" customFormat="false" ht="15" hidden="false" customHeight="true" outlineLevel="0" collapsed="false">
      <c r="A466" s="11" t="s">
        <v>1151</v>
      </c>
      <c r="B466" s="11"/>
      <c r="C466" s="11" t="s">
        <v>346</v>
      </c>
      <c r="D466" s="11" t="s">
        <v>395</v>
      </c>
      <c r="E466" s="11" t="s">
        <v>396</v>
      </c>
      <c r="F466" s="11" t="s">
        <v>358</v>
      </c>
      <c r="G466" s="11" t="s">
        <v>129</v>
      </c>
      <c r="H466" s="11"/>
      <c r="I466" s="11"/>
      <c r="J466" s="11" t="s">
        <v>343</v>
      </c>
      <c r="O466" s="1" t="n">
        <f aca="false">'Behovsmodell (75p)'!$B$76</f>
        <v>111099</v>
      </c>
      <c r="P466" s="1" t="n">
        <f aca="false">('Behovsmodell (75p)'!$B$76)/12</f>
        <v>9258.25</v>
      </c>
    </row>
    <row r="467" customFormat="false" ht="15" hidden="false" customHeight="true" outlineLevel="0" collapsed="false">
      <c r="A467" s="11" t="s">
        <v>1152</v>
      </c>
      <c r="B467" s="11" t="s">
        <v>663</v>
      </c>
      <c r="C467" s="11" t="s">
        <v>414</v>
      </c>
      <c r="D467" s="11"/>
      <c r="E467" s="11" t="s">
        <v>356</v>
      </c>
      <c r="F467" s="11"/>
      <c r="G467" s="11"/>
      <c r="H467" s="11"/>
      <c r="I467" s="11"/>
      <c r="J467" s="11" t="s">
        <v>343</v>
      </c>
      <c r="N467" s="1" t="s">
        <v>371</v>
      </c>
    </row>
    <row r="468" customFormat="false" ht="15" hidden="false" customHeight="true" outlineLevel="0" collapsed="false">
      <c r="A468" s="11" t="s">
        <v>1153</v>
      </c>
      <c r="B468" s="11" t="s">
        <v>1154</v>
      </c>
      <c r="C468" s="11" t="s">
        <v>355</v>
      </c>
      <c r="D468" s="11" t="s">
        <v>366</v>
      </c>
      <c r="E468" s="11" t="s">
        <v>341</v>
      </c>
      <c r="F468" s="11" t="s">
        <v>353</v>
      </c>
      <c r="G468" s="11"/>
      <c r="H468" s="11" t="s">
        <v>366</v>
      </c>
      <c r="I468" s="11"/>
      <c r="J468" s="11" t="s">
        <v>343</v>
      </c>
    </row>
    <row r="469" customFormat="false" ht="15" hidden="false" customHeight="true" outlineLevel="0" collapsed="false">
      <c r="A469" s="11" t="s">
        <v>1155</v>
      </c>
      <c r="B469" s="11" t="s">
        <v>338</v>
      </c>
      <c r="C469" s="11" t="s">
        <v>339</v>
      </c>
      <c r="D469" s="11" t="s">
        <v>340</v>
      </c>
      <c r="E469" s="11" t="s">
        <v>341</v>
      </c>
      <c r="F469" s="11" t="s">
        <v>1156</v>
      </c>
      <c r="G469" s="11"/>
      <c r="H469" s="11" t="s">
        <v>340</v>
      </c>
      <c r="I469" s="11"/>
      <c r="J469" s="11" t="s">
        <v>343</v>
      </c>
    </row>
    <row r="470" customFormat="false" ht="15" hidden="false" customHeight="true" outlineLevel="0" collapsed="false">
      <c r="A470" s="11" t="s">
        <v>1157</v>
      </c>
      <c r="B470" s="11"/>
      <c r="C470" s="11" t="s">
        <v>361</v>
      </c>
      <c r="D470" s="11"/>
      <c r="E470" s="11" t="s">
        <v>356</v>
      </c>
      <c r="F470" s="11"/>
      <c r="G470" s="11"/>
      <c r="H470" s="11"/>
      <c r="I470" s="11"/>
      <c r="J470" s="11" t="s">
        <v>343</v>
      </c>
    </row>
    <row r="471" customFormat="false" ht="15" hidden="false" customHeight="true" outlineLevel="0" collapsed="false">
      <c r="A471" s="11" t="s">
        <v>1158</v>
      </c>
      <c r="B471" s="11" t="s">
        <v>405</v>
      </c>
      <c r="C471" s="11" t="s">
        <v>346</v>
      </c>
      <c r="D471" s="11" t="s">
        <v>395</v>
      </c>
      <c r="E471" s="11" t="s">
        <v>396</v>
      </c>
      <c r="F471" s="11" t="s">
        <v>689</v>
      </c>
      <c r="G471" s="11" t="s">
        <v>129</v>
      </c>
      <c r="H471" s="11"/>
      <c r="I471" s="11"/>
      <c r="J471" s="11" t="s">
        <v>343</v>
      </c>
      <c r="O471" s="1" t="n">
        <f aca="false">'Behovsmodell (75p)'!$B$76</f>
        <v>111099</v>
      </c>
      <c r="P471" s="1" t="n">
        <f aca="false">('Behovsmodell (75p)'!$B$76)/12</f>
        <v>9258.25</v>
      </c>
    </row>
    <row r="472" customFormat="false" ht="15" hidden="false" customHeight="true" outlineLevel="0" collapsed="false">
      <c r="A472" s="11" t="s">
        <v>1159</v>
      </c>
      <c r="B472" s="11"/>
      <c r="C472" s="11" t="s">
        <v>457</v>
      </c>
      <c r="D472" s="11" t="s">
        <v>340</v>
      </c>
      <c r="E472" s="11" t="s">
        <v>341</v>
      </c>
      <c r="F472" s="11"/>
      <c r="G472" s="11"/>
      <c r="H472" s="11" t="s">
        <v>340</v>
      </c>
      <c r="I472" s="11"/>
      <c r="J472" s="11" t="s">
        <v>343</v>
      </c>
    </row>
    <row r="473" customFormat="false" ht="15" hidden="false" customHeight="true" outlineLevel="0" collapsed="false">
      <c r="A473" s="11" t="s">
        <v>1160</v>
      </c>
      <c r="B473" s="11" t="s">
        <v>388</v>
      </c>
      <c r="C473" s="11" t="s">
        <v>388</v>
      </c>
      <c r="D473" s="11" t="s">
        <v>347</v>
      </c>
      <c r="E473" s="11"/>
      <c r="F473" s="11"/>
      <c r="G473" s="11" t="s">
        <v>31</v>
      </c>
      <c r="H473" s="11"/>
      <c r="I473" s="11"/>
      <c r="J473" s="11" t="s">
        <v>343</v>
      </c>
      <c r="O473" s="1" t="n">
        <f aca="false">'Behovsmodell (75p)'!$B$62</f>
        <v>85559</v>
      </c>
      <c r="P473" s="1" t="n">
        <f aca="false">('Behovsmodell (75p)'!$B$62)/12</f>
        <v>7129.91666666667</v>
      </c>
    </row>
    <row r="474" customFormat="false" ht="15" hidden="false" customHeight="true" outlineLevel="0" collapsed="false">
      <c r="A474" s="11" t="s">
        <v>1161</v>
      </c>
      <c r="B474" s="11" t="s">
        <v>403</v>
      </c>
      <c r="C474" s="11" t="s">
        <v>403</v>
      </c>
      <c r="D474" s="11" t="s">
        <v>340</v>
      </c>
      <c r="E474" s="11" t="s">
        <v>341</v>
      </c>
      <c r="F474" s="11" t="s">
        <v>358</v>
      </c>
      <c r="G474" s="11"/>
      <c r="H474" s="11" t="s">
        <v>340</v>
      </c>
      <c r="I474" s="11"/>
      <c r="J474" s="11" t="s">
        <v>343</v>
      </c>
    </row>
    <row r="475" customFormat="false" ht="15" hidden="false" customHeight="true" outlineLevel="0" collapsed="false">
      <c r="A475" s="11" t="s">
        <v>1162</v>
      </c>
      <c r="B475" s="11" t="s">
        <v>1163</v>
      </c>
      <c r="C475" s="11" t="s">
        <v>536</v>
      </c>
      <c r="D475" s="11" t="s">
        <v>366</v>
      </c>
      <c r="E475" s="11" t="s">
        <v>356</v>
      </c>
      <c r="F475" s="11" t="s">
        <v>358</v>
      </c>
      <c r="G475" s="11"/>
      <c r="H475" s="11" t="s">
        <v>366</v>
      </c>
      <c r="I475" s="11"/>
      <c r="J475" s="11" t="s">
        <v>343</v>
      </c>
    </row>
    <row r="476" customFormat="false" ht="15" hidden="false" customHeight="true" outlineLevel="0" collapsed="false">
      <c r="A476" s="11" t="s">
        <v>1164</v>
      </c>
      <c r="B476" s="11"/>
      <c r="C476" s="11" t="s">
        <v>339</v>
      </c>
      <c r="D476" s="11" t="s">
        <v>347</v>
      </c>
      <c r="E476" s="11"/>
      <c r="F476" s="11" t="s">
        <v>358</v>
      </c>
      <c r="G476" s="11" t="s">
        <v>31</v>
      </c>
      <c r="H476" s="11"/>
      <c r="I476" s="11"/>
      <c r="J476" s="11" t="s">
        <v>343</v>
      </c>
      <c r="O476" s="1" t="n">
        <f aca="false">'Behovsmodell (75p)'!$B$62</f>
        <v>85559</v>
      </c>
      <c r="P476" s="1" t="n">
        <f aca="false">('Behovsmodell (75p)'!$B$62)/12</f>
        <v>7129.91666666667</v>
      </c>
    </row>
    <row r="477" customFormat="false" ht="15" hidden="false" customHeight="true" outlineLevel="0" collapsed="false">
      <c r="A477" s="11" t="s">
        <v>1165</v>
      </c>
      <c r="B477" s="11" t="s">
        <v>338</v>
      </c>
      <c r="C477" s="11" t="s">
        <v>339</v>
      </c>
      <c r="D477" s="11"/>
      <c r="E477" s="11" t="s">
        <v>396</v>
      </c>
      <c r="F477" s="11" t="s">
        <v>358</v>
      </c>
      <c r="G477" s="11"/>
      <c r="H477" s="11"/>
      <c r="I477" s="11"/>
      <c r="J477" s="11" t="s">
        <v>343</v>
      </c>
    </row>
    <row r="478" customFormat="false" ht="15" hidden="false" customHeight="true" outlineLevel="0" collapsed="false">
      <c r="A478" s="11" t="s">
        <v>1166</v>
      </c>
      <c r="B478" s="11"/>
      <c r="C478" s="11" t="s">
        <v>245</v>
      </c>
      <c r="D478" s="11" t="s">
        <v>347</v>
      </c>
      <c r="E478" s="11" t="s">
        <v>356</v>
      </c>
      <c r="F478" s="11"/>
      <c r="G478" s="11" t="s">
        <v>31</v>
      </c>
      <c r="H478" s="11"/>
      <c r="I478" s="11"/>
      <c r="J478" s="11" t="s">
        <v>343</v>
      </c>
      <c r="O478" s="1" t="n">
        <f aca="false">'Behovsmodell (75p)'!$B$62</f>
        <v>85559</v>
      </c>
      <c r="P478" s="1" t="n">
        <f aca="false">('Behovsmodell (75p)'!$B$62)/12</f>
        <v>7129.91666666667</v>
      </c>
    </row>
    <row r="479" customFormat="false" ht="15" hidden="false" customHeight="true" outlineLevel="0" collapsed="false">
      <c r="A479" s="11" t="s">
        <v>1167</v>
      </c>
      <c r="B479" s="11"/>
      <c r="C479" s="11" t="s">
        <v>361</v>
      </c>
      <c r="D479" s="11"/>
      <c r="E479" s="11" t="s">
        <v>356</v>
      </c>
      <c r="F479" s="11" t="s">
        <v>353</v>
      </c>
      <c r="G479" s="11"/>
      <c r="H479" s="11"/>
      <c r="I479" s="11"/>
      <c r="J479" s="11" t="s">
        <v>343</v>
      </c>
    </row>
    <row r="480" customFormat="false" ht="15" hidden="false" customHeight="true" outlineLevel="0" collapsed="false">
      <c r="A480" s="11" t="s">
        <v>1168</v>
      </c>
      <c r="B480" s="11"/>
      <c r="C480" s="11" t="s">
        <v>339</v>
      </c>
      <c r="D480" s="11" t="s">
        <v>352</v>
      </c>
      <c r="E480" s="11" t="s">
        <v>356</v>
      </c>
      <c r="F480" s="11" t="s">
        <v>702</v>
      </c>
      <c r="G480" s="11" t="s">
        <v>84</v>
      </c>
      <c r="H480" s="11"/>
      <c r="I480" s="11"/>
      <c r="J480" s="11" t="s">
        <v>343</v>
      </c>
      <c r="O480" s="1" t="n">
        <f aca="false">'Behovsmodell (75p)'!$B$68</f>
        <v>330040.65</v>
      </c>
      <c r="P480" s="1" t="n">
        <f aca="false">('Behovsmodell (75p)'!$B$68)/12</f>
        <v>27503.3875</v>
      </c>
    </row>
    <row r="481" customFormat="false" ht="15" hidden="false" customHeight="true" outlineLevel="0" collapsed="false">
      <c r="A481" s="11" t="s">
        <v>1169</v>
      </c>
      <c r="B481" s="11" t="s">
        <v>597</v>
      </c>
      <c r="C481" s="11" t="s">
        <v>597</v>
      </c>
      <c r="D481" s="11" t="s">
        <v>347</v>
      </c>
      <c r="E481" s="11" t="s">
        <v>356</v>
      </c>
      <c r="F481" s="11" t="s">
        <v>1170</v>
      </c>
      <c r="G481" s="11" t="s">
        <v>31</v>
      </c>
      <c r="H481" s="11"/>
      <c r="I481" s="11"/>
      <c r="J481" s="11" t="s">
        <v>343</v>
      </c>
      <c r="O481" s="1" t="n">
        <f aca="false">'Behovsmodell (75p)'!$B$62</f>
        <v>85559</v>
      </c>
      <c r="P481" s="1" t="n">
        <f aca="false">('Behovsmodell (75p)'!$B$62)/12</f>
        <v>7129.91666666667</v>
      </c>
    </row>
    <row r="482" customFormat="false" ht="15" hidden="false" customHeight="true" outlineLevel="0" collapsed="false">
      <c r="A482" s="11" t="s">
        <v>1171</v>
      </c>
      <c r="B482" s="11"/>
      <c r="C482" s="11" t="s">
        <v>355</v>
      </c>
      <c r="D482" s="11" t="s">
        <v>530</v>
      </c>
      <c r="E482" s="11"/>
      <c r="F482" s="11" t="s">
        <v>559</v>
      </c>
      <c r="G482" s="11" t="s">
        <v>77</v>
      </c>
      <c r="H482" s="11"/>
      <c r="I482" s="11"/>
      <c r="J482" s="11" t="s">
        <v>343</v>
      </c>
      <c r="O482" s="1" t="n">
        <f aca="false">'Behovsmodell (75p)'!$B$67</f>
        <v>58231.2</v>
      </c>
      <c r="P482" s="1" t="n">
        <f aca="false">('Behovsmodell (75p)'!$B$67)/12</f>
        <v>4852.6</v>
      </c>
    </row>
    <row r="483" customFormat="false" ht="15" hidden="false" customHeight="true" outlineLevel="0" collapsed="false">
      <c r="A483" s="11" t="s">
        <v>1172</v>
      </c>
      <c r="B483" s="11"/>
      <c r="C483" s="11" t="s">
        <v>245</v>
      </c>
      <c r="D483" s="11" t="s">
        <v>366</v>
      </c>
      <c r="E483" s="11" t="s">
        <v>341</v>
      </c>
      <c r="F483" s="11"/>
      <c r="G483" s="11"/>
      <c r="H483" s="11" t="s">
        <v>366</v>
      </c>
      <c r="I483" s="11"/>
      <c r="J483" s="11" t="s">
        <v>343</v>
      </c>
    </row>
    <row r="484" customFormat="false" ht="15" hidden="false" customHeight="true" outlineLevel="0" collapsed="false">
      <c r="A484" s="11" t="s">
        <v>1173</v>
      </c>
      <c r="B484" s="11" t="s">
        <v>1174</v>
      </c>
      <c r="C484" s="11" t="s">
        <v>597</v>
      </c>
      <c r="D484" s="11"/>
      <c r="E484" s="11" t="s">
        <v>356</v>
      </c>
      <c r="F484" s="11" t="s">
        <v>1175</v>
      </c>
      <c r="G484" s="11"/>
      <c r="H484" s="11"/>
      <c r="I484" s="11"/>
      <c r="J484" s="11" t="s">
        <v>343</v>
      </c>
      <c r="N484" s="1" t="s">
        <v>1176</v>
      </c>
    </row>
    <row r="485" customFormat="false" ht="15" hidden="false" customHeight="true" outlineLevel="0" collapsed="false">
      <c r="A485" s="11" t="s">
        <v>1173</v>
      </c>
      <c r="B485" s="11"/>
      <c r="C485" s="11" t="s">
        <v>339</v>
      </c>
      <c r="D485" s="11"/>
      <c r="E485" s="11" t="s">
        <v>356</v>
      </c>
      <c r="F485" s="11" t="s">
        <v>1175</v>
      </c>
      <c r="G485" s="11"/>
      <c r="H485" s="11"/>
      <c r="I485" s="11"/>
      <c r="J485" s="11" t="s">
        <v>343</v>
      </c>
      <c r="N485" s="1" t="s">
        <v>1176</v>
      </c>
    </row>
    <row r="486" customFormat="false" ht="15" hidden="false" customHeight="true" outlineLevel="0" collapsed="false">
      <c r="A486" s="11" t="s">
        <v>1177</v>
      </c>
      <c r="B486" s="11"/>
      <c r="C486" s="11" t="s">
        <v>346</v>
      </c>
      <c r="D486" s="11" t="s">
        <v>340</v>
      </c>
      <c r="E486" s="11" t="s">
        <v>341</v>
      </c>
      <c r="F486" s="11" t="s">
        <v>1178</v>
      </c>
      <c r="G486" s="11"/>
      <c r="H486" s="11" t="s">
        <v>340</v>
      </c>
      <c r="I486" s="11"/>
      <c r="J486" s="11" t="s">
        <v>343</v>
      </c>
    </row>
    <row r="487" customFormat="false" ht="15" hidden="false" customHeight="true" outlineLevel="0" collapsed="false">
      <c r="A487" s="11" t="s">
        <v>1179</v>
      </c>
      <c r="B487" s="11"/>
      <c r="C487" s="11" t="s">
        <v>339</v>
      </c>
      <c r="D487" s="11" t="s">
        <v>347</v>
      </c>
      <c r="E487" s="11"/>
      <c r="F487" s="11" t="s">
        <v>441</v>
      </c>
      <c r="G487" s="11" t="s">
        <v>31</v>
      </c>
      <c r="H487" s="11"/>
      <c r="I487" s="11"/>
      <c r="J487" s="11" t="s">
        <v>343</v>
      </c>
      <c r="O487" s="1" t="n">
        <f aca="false">'Behovsmodell (75p)'!$B$62</f>
        <v>85559</v>
      </c>
      <c r="P487" s="1" t="n">
        <f aca="false">('Behovsmodell (75p)'!$B$62)/12</f>
        <v>7129.91666666667</v>
      </c>
    </row>
    <row r="488" customFormat="false" ht="15" hidden="false" customHeight="true" outlineLevel="0" collapsed="false">
      <c r="A488" s="11" t="s">
        <v>1179</v>
      </c>
      <c r="B488" s="11"/>
      <c r="C488" s="11" t="s">
        <v>361</v>
      </c>
      <c r="D488" s="11" t="s">
        <v>347</v>
      </c>
      <c r="E488" s="11"/>
      <c r="F488" s="11" t="s">
        <v>441</v>
      </c>
      <c r="G488" s="11" t="s">
        <v>31</v>
      </c>
      <c r="H488" s="11"/>
      <c r="I488" s="11"/>
      <c r="J488" s="11" t="s">
        <v>343</v>
      </c>
      <c r="O488" s="1" t="n">
        <f aca="false">'Behovsmodell (75p)'!$B$62</f>
        <v>85559</v>
      </c>
      <c r="P488" s="1" t="n">
        <f aca="false">('Behovsmodell (75p)'!$B$62)/12</f>
        <v>7129.91666666667</v>
      </c>
    </row>
    <row r="489" customFormat="false" ht="15" hidden="false" customHeight="true" outlineLevel="0" collapsed="false">
      <c r="A489" s="11" t="s">
        <v>1180</v>
      </c>
      <c r="B489" s="11"/>
      <c r="C489" s="11" t="s">
        <v>355</v>
      </c>
      <c r="D489" s="11"/>
      <c r="E489" s="11" t="s">
        <v>356</v>
      </c>
      <c r="F489" s="11"/>
      <c r="G489" s="11"/>
      <c r="H489" s="11"/>
      <c r="I489" s="11"/>
      <c r="J489" s="11" t="s">
        <v>343</v>
      </c>
    </row>
    <row r="490" customFormat="false" ht="15" hidden="false" customHeight="true" outlineLevel="0" collapsed="false">
      <c r="A490" s="11" t="s">
        <v>1181</v>
      </c>
      <c r="B490" s="11" t="s">
        <v>380</v>
      </c>
      <c r="C490" s="11" t="s">
        <v>381</v>
      </c>
      <c r="D490" s="11"/>
      <c r="E490" s="11" t="s">
        <v>356</v>
      </c>
      <c r="F490" s="11" t="s">
        <v>1175</v>
      </c>
      <c r="G490" s="11"/>
      <c r="H490" s="11"/>
      <c r="I490" s="11"/>
      <c r="J490" s="11" t="s">
        <v>343</v>
      </c>
      <c r="K490" s="1" t="s">
        <v>1182</v>
      </c>
      <c r="L490" s="1" t="s">
        <v>1183</v>
      </c>
      <c r="M490" s="1" t="s">
        <v>1184</v>
      </c>
      <c r="N490" s="1" t="s">
        <v>1185</v>
      </c>
    </row>
    <row r="491" customFormat="false" ht="15" hidden="false" customHeight="true" outlineLevel="0" collapsed="false">
      <c r="A491" s="11" t="s">
        <v>1186</v>
      </c>
      <c r="B491" s="11"/>
      <c r="C491" s="11" t="s">
        <v>346</v>
      </c>
      <c r="D491" s="11" t="s">
        <v>347</v>
      </c>
      <c r="E491" s="11" t="s">
        <v>356</v>
      </c>
      <c r="F491" s="11"/>
      <c r="G491" s="11" t="s">
        <v>31</v>
      </c>
      <c r="H491" s="11"/>
      <c r="I491" s="11"/>
      <c r="J491" s="11" t="s">
        <v>343</v>
      </c>
      <c r="O491" s="1" t="n">
        <f aca="false">'Behovsmodell (75p)'!$B$62</f>
        <v>85559</v>
      </c>
      <c r="P491" s="1" t="n">
        <f aca="false">('Behovsmodell (75p)'!$B$62)/12</f>
        <v>7129.91666666667</v>
      </c>
    </row>
    <row r="492" customFormat="false" ht="15" hidden="false" customHeight="true" outlineLevel="0" collapsed="false">
      <c r="A492" s="11" t="s">
        <v>1187</v>
      </c>
      <c r="B492" s="11"/>
      <c r="C492" s="11" t="s">
        <v>339</v>
      </c>
      <c r="D492" s="11"/>
      <c r="E492" s="11" t="s">
        <v>356</v>
      </c>
      <c r="F492" s="11" t="s">
        <v>358</v>
      </c>
      <c r="G492" s="11"/>
      <c r="H492" s="11"/>
      <c r="I492" s="11"/>
      <c r="J492" s="11" t="s">
        <v>343</v>
      </c>
    </row>
    <row r="493" customFormat="false" ht="15" hidden="false" customHeight="true" outlineLevel="0" collapsed="false">
      <c r="A493" s="11" t="s">
        <v>1188</v>
      </c>
      <c r="B493" s="11"/>
      <c r="C493" s="11" t="s">
        <v>355</v>
      </c>
      <c r="D493" s="11" t="s">
        <v>340</v>
      </c>
      <c r="E493" s="11" t="s">
        <v>341</v>
      </c>
      <c r="F493" s="11" t="s">
        <v>516</v>
      </c>
      <c r="G493" s="11"/>
      <c r="H493" s="11" t="s">
        <v>340</v>
      </c>
      <c r="I493" s="11"/>
      <c r="J493" s="11" t="s">
        <v>343</v>
      </c>
    </row>
    <row r="494" customFormat="false" ht="15" hidden="false" customHeight="true" outlineLevel="0" collapsed="false">
      <c r="A494" s="11" t="s">
        <v>1189</v>
      </c>
      <c r="B494" s="11"/>
      <c r="C494" s="11" t="s">
        <v>355</v>
      </c>
      <c r="D494" s="11" t="s">
        <v>366</v>
      </c>
      <c r="E494" s="11" t="s">
        <v>341</v>
      </c>
      <c r="F494" s="11"/>
      <c r="G494" s="11"/>
      <c r="H494" s="11" t="s">
        <v>366</v>
      </c>
      <c r="I494" s="11"/>
      <c r="J494" s="11" t="s">
        <v>343</v>
      </c>
    </row>
    <row r="495" customFormat="false" ht="15" hidden="false" customHeight="true" outlineLevel="0" collapsed="false">
      <c r="A495" s="11" t="s">
        <v>1190</v>
      </c>
      <c r="B495" s="11"/>
      <c r="C495" s="11" t="s">
        <v>339</v>
      </c>
      <c r="D495" s="11" t="s">
        <v>375</v>
      </c>
      <c r="E495" s="11" t="s">
        <v>356</v>
      </c>
      <c r="F495" s="11" t="s">
        <v>447</v>
      </c>
      <c r="G495" s="11" t="s">
        <v>68</v>
      </c>
      <c r="H495" s="11"/>
      <c r="I495" s="11"/>
      <c r="J495" s="11" t="s">
        <v>343</v>
      </c>
      <c r="O495" s="1" t="n">
        <f aca="false">'Behovsmodell (75p)'!$B$66</f>
        <v>206427.05</v>
      </c>
      <c r="P495" s="1" t="n">
        <f aca="false">('Behovsmodell (75p)'!$B$66)/12</f>
        <v>17202.2541666667</v>
      </c>
    </row>
    <row r="496" customFormat="false" ht="15" hidden="false" customHeight="true" outlineLevel="0" collapsed="false">
      <c r="A496" s="11" t="s">
        <v>1191</v>
      </c>
      <c r="B496" s="11" t="s">
        <v>692</v>
      </c>
      <c r="C496" s="11" t="s">
        <v>355</v>
      </c>
      <c r="D496" s="11" t="s">
        <v>347</v>
      </c>
      <c r="E496" s="11"/>
      <c r="F496" s="11"/>
      <c r="G496" s="11" t="s">
        <v>31</v>
      </c>
      <c r="H496" s="11"/>
      <c r="I496" s="11"/>
      <c r="J496" s="11" t="s">
        <v>343</v>
      </c>
      <c r="O496" s="1" t="n">
        <f aca="false">'Behovsmodell (75p)'!$B$62</f>
        <v>85559</v>
      </c>
      <c r="P496" s="1" t="n">
        <f aca="false">('Behovsmodell (75p)'!$B$62)/12</f>
        <v>7129.91666666667</v>
      </c>
    </row>
    <row r="497" customFormat="false" ht="15" hidden="false" customHeight="true" outlineLevel="0" collapsed="false">
      <c r="A497" s="11" t="s">
        <v>1192</v>
      </c>
      <c r="B497" s="11"/>
      <c r="C497" s="11" t="s">
        <v>339</v>
      </c>
      <c r="D497" s="11" t="s">
        <v>347</v>
      </c>
      <c r="E497" s="11"/>
      <c r="F497" s="11" t="s">
        <v>1193</v>
      </c>
      <c r="G497" s="11" t="s">
        <v>31</v>
      </c>
      <c r="H497" s="11"/>
      <c r="I497" s="11"/>
      <c r="J497" s="11" t="s">
        <v>343</v>
      </c>
      <c r="O497" s="1" t="n">
        <f aca="false">'Behovsmodell (75p)'!$B$62</f>
        <v>85559</v>
      </c>
      <c r="P497" s="1" t="n">
        <f aca="false">('Behovsmodell (75p)'!$B$62)/12</f>
        <v>7129.91666666667</v>
      </c>
    </row>
    <row r="498" customFormat="false" ht="15" hidden="false" customHeight="true" outlineLevel="0" collapsed="false">
      <c r="A498" s="24" t="s">
        <v>1194</v>
      </c>
      <c r="B498" s="24" t="s">
        <v>360</v>
      </c>
      <c r="C498" s="24" t="s">
        <v>361</v>
      </c>
      <c r="D498" s="24" t="s">
        <v>352</v>
      </c>
      <c r="E498" s="24" t="s">
        <v>356</v>
      </c>
      <c r="F498" s="24"/>
      <c r="G498" s="24" t="s">
        <v>84</v>
      </c>
      <c r="H498" s="24"/>
      <c r="I498" s="24" t="s">
        <v>384</v>
      </c>
      <c r="J498" s="24" t="s">
        <v>343</v>
      </c>
      <c r="O498" s="1" t="n">
        <f aca="false">'Behovsmodell (75p)'!$B$68</f>
        <v>330040.65</v>
      </c>
      <c r="P498" s="1" t="n">
        <f aca="false">('Behovsmodell (75p)'!$B$68)/12</f>
        <v>27503.3875</v>
      </c>
    </row>
    <row r="499" customFormat="false" ht="15" hidden="false" customHeight="true" outlineLevel="0" collapsed="false">
      <c r="A499" s="11" t="s">
        <v>1195</v>
      </c>
      <c r="B499" s="11"/>
      <c r="C499" s="11" t="s">
        <v>245</v>
      </c>
      <c r="D499" s="11" t="s">
        <v>375</v>
      </c>
      <c r="E499" s="11" t="s">
        <v>356</v>
      </c>
      <c r="F499" s="11" t="s">
        <v>353</v>
      </c>
      <c r="G499" s="11" t="s">
        <v>68</v>
      </c>
      <c r="H499" s="11"/>
      <c r="I499" s="11"/>
      <c r="J499" s="11" t="s">
        <v>343</v>
      </c>
      <c r="O499" s="1" t="n">
        <f aca="false">'Behovsmodell (75p)'!$B$66</f>
        <v>206427.05</v>
      </c>
      <c r="P499" s="1" t="n">
        <f aca="false">('Behovsmodell (75p)'!$B$66)/12</f>
        <v>17202.2541666667</v>
      </c>
    </row>
    <row r="500" customFormat="false" ht="15" hidden="false" customHeight="true" outlineLevel="0" collapsed="false">
      <c r="A500" s="11" t="s">
        <v>1196</v>
      </c>
      <c r="B500" s="11"/>
      <c r="C500" s="11" t="s">
        <v>339</v>
      </c>
      <c r="D500" s="11" t="s">
        <v>375</v>
      </c>
      <c r="E500" s="11" t="s">
        <v>356</v>
      </c>
      <c r="F500" s="11"/>
      <c r="G500" s="11" t="s">
        <v>68</v>
      </c>
      <c r="H500" s="11"/>
      <c r="I500" s="11"/>
      <c r="J500" s="11" t="s">
        <v>343</v>
      </c>
      <c r="O500" s="1" t="n">
        <f aca="false">'Behovsmodell (75p)'!$B$66</f>
        <v>206427.05</v>
      </c>
      <c r="P500" s="1" t="n">
        <f aca="false">('Behovsmodell (75p)'!$B$66)/12</f>
        <v>17202.2541666667</v>
      </c>
    </row>
    <row r="501" customFormat="false" ht="15" hidden="false" customHeight="true" outlineLevel="0" collapsed="false">
      <c r="A501" s="11" t="s">
        <v>1197</v>
      </c>
      <c r="B501" s="11"/>
      <c r="C501" s="11" t="s">
        <v>245</v>
      </c>
      <c r="D501" s="11" t="s">
        <v>375</v>
      </c>
      <c r="E501" s="11" t="s">
        <v>356</v>
      </c>
      <c r="F501" s="11"/>
      <c r="G501" s="11" t="s">
        <v>68</v>
      </c>
      <c r="H501" s="11"/>
      <c r="I501" s="11"/>
      <c r="J501" s="11" t="s">
        <v>343</v>
      </c>
      <c r="O501" s="1" t="n">
        <f aca="false">'Behovsmodell (75p)'!$B$66</f>
        <v>206427.05</v>
      </c>
      <c r="P501" s="1" t="n">
        <f aca="false">('Behovsmodell (75p)'!$B$66)/12</f>
        <v>17202.2541666667</v>
      </c>
    </row>
    <row r="502" customFormat="false" ht="15" hidden="false" customHeight="true" outlineLevel="0" collapsed="false">
      <c r="A502" s="11" t="s">
        <v>1198</v>
      </c>
      <c r="B502" s="11"/>
      <c r="C502" s="11" t="s">
        <v>339</v>
      </c>
      <c r="D502" s="11" t="s">
        <v>375</v>
      </c>
      <c r="E502" s="11" t="s">
        <v>356</v>
      </c>
      <c r="F502" s="11" t="s">
        <v>358</v>
      </c>
      <c r="G502" s="11" t="s">
        <v>68</v>
      </c>
      <c r="H502" s="11"/>
      <c r="I502" s="11"/>
      <c r="J502" s="11" t="s">
        <v>343</v>
      </c>
      <c r="O502" s="1" t="n">
        <f aca="false">'Behovsmodell (75p)'!$B$66</f>
        <v>206427.05</v>
      </c>
      <c r="P502" s="1" t="n">
        <f aca="false">('Behovsmodell (75p)'!$B$66)/12</f>
        <v>17202.2541666667</v>
      </c>
    </row>
    <row r="503" customFormat="false" ht="15" hidden="false" customHeight="true" outlineLevel="0" collapsed="false">
      <c r="A503" s="24" t="s">
        <v>1199</v>
      </c>
      <c r="B503" s="24"/>
      <c r="C503" s="24" t="s">
        <v>361</v>
      </c>
      <c r="D503" s="24"/>
      <c r="E503" s="24" t="s">
        <v>356</v>
      </c>
      <c r="F503" s="24" t="s">
        <v>1200</v>
      </c>
      <c r="G503" s="24"/>
      <c r="H503" s="24"/>
      <c r="I503" s="24" t="s">
        <v>384</v>
      </c>
      <c r="J503" s="24" t="s">
        <v>343</v>
      </c>
    </row>
    <row r="504" customFormat="false" ht="15" hidden="false" customHeight="true" outlineLevel="0" collapsed="false">
      <c r="A504" s="11" t="s">
        <v>1201</v>
      </c>
      <c r="B504" s="11" t="s">
        <v>437</v>
      </c>
      <c r="C504" s="11" t="s">
        <v>361</v>
      </c>
      <c r="D504" s="11" t="s">
        <v>395</v>
      </c>
      <c r="E504" s="11"/>
      <c r="F504" s="11" t="s">
        <v>1202</v>
      </c>
      <c r="G504" s="11" t="s">
        <v>129</v>
      </c>
      <c r="H504" s="11"/>
      <c r="I504" s="11"/>
      <c r="J504" s="11" t="s">
        <v>343</v>
      </c>
      <c r="O504" s="1" t="n">
        <f aca="false">'Behovsmodell (75p)'!$B$76</f>
        <v>111099</v>
      </c>
      <c r="P504" s="1" t="n">
        <f aca="false">('Behovsmodell (75p)'!$B$76)/12</f>
        <v>9258.25</v>
      </c>
    </row>
    <row r="505" customFormat="false" ht="15" hidden="false" customHeight="true" outlineLevel="0" collapsed="false">
      <c r="A505" s="11" t="s">
        <v>1203</v>
      </c>
      <c r="B505" s="11"/>
      <c r="C505" s="11" t="s">
        <v>355</v>
      </c>
      <c r="D505" s="11"/>
      <c r="E505" s="11" t="s">
        <v>356</v>
      </c>
      <c r="F505" s="11" t="s">
        <v>656</v>
      </c>
      <c r="G505" s="11"/>
      <c r="H505" s="11"/>
      <c r="I505" s="11"/>
      <c r="J505" s="11" t="s">
        <v>343</v>
      </c>
    </row>
    <row r="506" customFormat="false" ht="15" hidden="false" customHeight="true" outlineLevel="0" collapsed="false">
      <c r="A506" s="11" t="s">
        <v>1204</v>
      </c>
      <c r="B506" s="11"/>
      <c r="C506" s="11" t="s">
        <v>346</v>
      </c>
      <c r="D506" s="11" t="s">
        <v>530</v>
      </c>
      <c r="E506" s="11" t="s">
        <v>396</v>
      </c>
      <c r="F506" s="11" t="s">
        <v>441</v>
      </c>
      <c r="G506" s="11" t="s">
        <v>77</v>
      </c>
      <c r="H506" s="11"/>
      <c r="I506" s="11"/>
      <c r="J506" s="11" t="s">
        <v>343</v>
      </c>
      <c r="O506" s="1" t="n">
        <f aca="false">'Behovsmodell (75p)'!$B$67</f>
        <v>58231.2</v>
      </c>
      <c r="P506" s="1" t="n">
        <f aca="false">('Behovsmodell (75p)'!$B$67)/12</f>
        <v>4852.6</v>
      </c>
    </row>
    <row r="507" customFormat="false" ht="15" hidden="false" customHeight="true" outlineLevel="0" collapsed="false">
      <c r="A507" s="11" t="s">
        <v>1205</v>
      </c>
      <c r="B507" s="11" t="s">
        <v>1005</v>
      </c>
      <c r="C507" s="11" t="s">
        <v>346</v>
      </c>
      <c r="D507" s="11"/>
      <c r="E507" s="11" t="s">
        <v>396</v>
      </c>
      <c r="F507" s="11" t="s">
        <v>1206</v>
      </c>
      <c r="G507" s="11"/>
      <c r="H507" s="11"/>
      <c r="I507" s="11"/>
      <c r="J507" s="11" t="s">
        <v>343</v>
      </c>
    </row>
    <row r="508" customFormat="false" ht="15" hidden="false" customHeight="true" outlineLevel="0" collapsed="false">
      <c r="A508" s="11" t="s">
        <v>1207</v>
      </c>
      <c r="B508" s="11" t="s">
        <v>514</v>
      </c>
      <c r="C508" s="11" t="s">
        <v>414</v>
      </c>
      <c r="D508" s="11"/>
      <c r="E508" s="11" t="s">
        <v>356</v>
      </c>
      <c r="F508" s="11" t="s">
        <v>1208</v>
      </c>
      <c r="G508" s="11"/>
      <c r="H508" s="11"/>
      <c r="I508" s="11"/>
      <c r="J508" s="11" t="s">
        <v>343</v>
      </c>
    </row>
    <row r="509" customFormat="false" ht="15" hidden="false" customHeight="true" outlineLevel="0" collapsed="false">
      <c r="A509" s="11" t="s">
        <v>1209</v>
      </c>
      <c r="B509" s="11" t="s">
        <v>368</v>
      </c>
      <c r="C509" s="11" t="s">
        <v>361</v>
      </c>
      <c r="D509" s="11" t="s">
        <v>347</v>
      </c>
      <c r="E509" s="11"/>
      <c r="F509" s="11" t="s">
        <v>656</v>
      </c>
      <c r="G509" s="11" t="s">
        <v>31</v>
      </c>
      <c r="H509" s="11"/>
      <c r="I509" s="11"/>
      <c r="J509" s="11" t="s">
        <v>343</v>
      </c>
      <c r="O509" s="1" t="n">
        <f aca="false">'Behovsmodell (75p)'!$B$62</f>
        <v>85559</v>
      </c>
      <c r="P509" s="1" t="n">
        <f aca="false">('Behovsmodell (75p)'!$B$62)/12</f>
        <v>7129.91666666667</v>
      </c>
    </row>
    <row r="510" customFormat="false" ht="15" hidden="false" customHeight="true" outlineLevel="0" collapsed="false">
      <c r="A510" s="11" t="s">
        <v>1210</v>
      </c>
      <c r="B510" s="11" t="s">
        <v>1051</v>
      </c>
      <c r="C510" s="11" t="s">
        <v>536</v>
      </c>
      <c r="D510" s="11" t="s">
        <v>366</v>
      </c>
      <c r="E510" s="11" t="s">
        <v>341</v>
      </c>
      <c r="F510" s="11" t="s">
        <v>358</v>
      </c>
      <c r="G510" s="11"/>
      <c r="H510" s="11" t="s">
        <v>366</v>
      </c>
      <c r="I510" s="11"/>
      <c r="J510" s="11" t="s">
        <v>343</v>
      </c>
    </row>
    <row r="511" customFormat="false" ht="15" hidden="false" customHeight="true" outlineLevel="0" collapsed="false">
      <c r="A511" s="11" t="s">
        <v>1211</v>
      </c>
      <c r="B511" s="11" t="s">
        <v>528</v>
      </c>
      <c r="C511" s="11" t="s">
        <v>355</v>
      </c>
      <c r="D511" s="11" t="s">
        <v>366</v>
      </c>
      <c r="E511" s="11" t="s">
        <v>341</v>
      </c>
      <c r="F511" s="11"/>
      <c r="G511" s="11"/>
      <c r="H511" s="11" t="s">
        <v>366</v>
      </c>
      <c r="I511" s="11"/>
      <c r="J511" s="11" t="s">
        <v>343</v>
      </c>
    </row>
    <row r="512" customFormat="false" ht="15" hidden="false" customHeight="true" outlineLevel="0" collapsed="false">
      <c r="A512" s="11" t="s">
        <v>1212</v>
      </c>
      <c r="B512" s="11"/>
      <c r="C512" s="11" t="s">
        <v>339</v>
      </c>
      <c r="D512" s="11"/>
      <c r="E512" s="11" t="s">
        <v>356</v>
      </c>
      <c r="F512" s="11"/>
      <c r="G512" s="11"/>
      <c r="H512" s="11"/>
      <c r="I512" s="11"/>
      <c r="J512" s="11" t="s">
        <v>343</v>
      </c>
    </row>
    <row r="513" customFormat="false" ht="15" hidden="false" customHeight="true" outlineLevel="0" collapsed="false">
      <c r="A513" s="11" t="s">
        <v>1213</v>
      </c>
      <c r="B513" s="11" t="s">
        <v>1214</v>
      </c>
      <c r="C513" s="11" t="s">
        <v>339</v>
      </c>
      <c r="D513" s="11"/>
      <c r="E513" s="11" t="s">
        <v>356</v>
      </c>
      <c r="F513" s="11" t="s">
        <v>353</v>
      </c>
      <c r="G513" s="11"/>
      <c r="H513" s="11"/>
      <c r="I513" s="11"/>
      <c r="J513" s="11" t="s">
        <v>343</v>
      </c>
    </row>
    <row r="514" customFormat="false" ht="15" hidden="false" customHeight="true" outlineLevel="0" collapsed="false">
      <c r="A514" s="11" t="s">
        <v>1215</v>
      </c>
      <c r="B514" s="11"/>
      <c r="C514" s="11" t="s">
        <v>339</v>
      </c>
      <c r="D514" s="11" t="s">
        <v>347</v>
      </c>
      <c r="E514" s="11" t="s">
        <v>356</v>
      </c>
      <c r="F514" s="11"/>
      <c r="G514" s="11" t="s">
        <v>31</v>
      </c>
      <c r="H514" s="11"/>
      <c r="I514" s="11"/>
      <c r="J514" s="11" t="s">
        <v>343</v>
      </c>
      <c r="O514" s="1" t="n">
        <f aca="false">'Behovsmodell (75p)'!$B$62</f>
        <v>85559</v>
      </c>
      <c r="P514" s="1" t="n">
        <f aca="false">('Behovsmodell (75p)'!$B$62)/12</f>
        <v>7129.91666666667</v>
      </c>
    </row>
    <row r="515" customFormat="false" ht="15" hidden="false" customHeight="true" outlineLevel="0" collapsed="false">
      <c r="A515" s="11" t="s">
        <v>1216</v>
      </c>
      <c r="B515" s="11" t="s">
        <v>550</v>
      </c>
      <c r="C515" s="11" t="s">
        <v>355</v>
      </c>
      <c r="D515" s="11" t="s">
        <v>347</v>
      </c>
      <c r="E515" s="11" t="s">
        <v>356</v>
      </c>
      <c r="F515" s="11" t="s">
        <v>358</v>
      </c>
      <c r="G515" s="11" t="s">
        <v>31</v>
      </c>
      <c r="H515" s="11"/>
      <c r="I515" s="11"/>
      <c r="J515" s="11" t="s">
        <v>343</v>
      </c>
      <c r="O515" s="1" t="n">
        <f aca="false">'Behovsmodell (75p)'!$B$62</f>
        <v>85559</v>
      </c>
      <c r="P515" s="1" t="n">
        <f aca="false">('Behovsmodell (75p)'!$B$62)/12</f>
        <v>7129.91666666667</v>
      </c>
    </row>
    <row r="516" customFormat="false" ht="15" hidden="false" customHeight="true" outlineLevel="0" collapsed="false">
      <c r="A516" s="11" t="s">
        <v>1217</v>
      </c>
      <c r="B516" s="11"/>
      <c r="C516" s="11" t="s">
        <v>339</v>
      </c>
      <c r="D516" s="11"/>
      <c r="E516" s="11" t="s">
        <v>356</v>
      </c>
      <c r="F516" s="11" t="s">
        <v>358</v>
      </c>
      <c r="G516" s="11"/>
      <c r="H516" s="11"/>
      <c r="I516" s="11"/>
      <c r="J516" s="11" t="s">
        <v>343</v>
      </c>
      <c r="K516" s="1" t="s">
        <v>1218</v>
      </c>
      <c r="L516" s="1" t="s">
        <v>1219</v>
      </c>
      <c r="M516" s="1" t="s">
        <v>1220</v>
      </c>
      <c r="N516" s="1" t="s">
        <v>1221</v>
      </c>
    </row>
    <row r="517" customFormat="false" ht="15" hidden="false" customHeight="true" outlineLevel="0" collapsed="false">
      <c r="A517" s="11" t="s">
        <v>1222</v>
      </c>
      <c r="B517" s="11" t="s">
        <v>528</v>
      </c>
      <c r="C517" s="11" t="s">
        <v>355</v>
      </c>
      <c r="D517" s="11"/>
      <c r="E517" s="11" t="s">
        <v>356</v>
      </c>
      <c r="F517" s="11" t="s">
        <v>702</v>
      </c>
      <c r="G517" s="11"/>
      <c r="H517" s="11"/>
      <c r="I517" s="11"/>
      <c r="J517" s="11" t="s">
        <v>343</v>
      </c>
    </row>
    <row r="518" customFormat="false" ht="15" hidden="false" customHeight="true" outlineLevel="0" collapsed="false">
      <c r="A518" s="11" t="s">
        <v>1223</v>
      </c>
      <c r="B518" s="11"/>
      <c r="C518" s="11" t="s">
        <v>355</v>
      </c>
      <c r="D518" s="11"/>
      <c r="E518" s="11" t="s">
        <v>356</v>
      </c>
      <c r="F518" s="11" t="s">
        <v>516</v>
      </c>
      <c r="G518" s="11"/>
      <c r="H518" s="11"/>
      <c r="I518" s="11"/>
      <c r="J518" s="11" t="s">
        <v>343</v>
      </c>
    </row>
    <row r="519" customFormat="false" ht="15" hidden="false" customHeight="true" outlineLevel="0" collapsed="false">
      <c r="A519" s="11" t="s">
        <v>1224</v>
      </c>
      <c r="B519" s="11" t="s">
        <v>606</v>
      </c>
      <c r="C519" s="11" t="s">
        <v>414</v>
      </c>
      <c r="D519" s="11" t="s">
        <v>652</v>
      </c>
      <c r="E519" s="11" t="s">
        <v>356</v>
      </c>
      <c r="F519" s="11"/>
      <c r="G519" s="11" t="s">
        <v>126</v>
      </c>
      <c r="H519" s="11"/>
      <c r="I519" s="11"/>
      <c r="J519" s="11" t="s">
        <v>343</v>
      </c>
      <c r="O519" s="1" t="n">
        <f aca="false">'Behovsmodell (75p)'!$B$75</f>
        <v>11812.25</v>
      </c>
      <c r="P519" s="1" t="n">
        <f aca="false">('Behovsmodell (75p)'!$B$75)/12</f>
        <v>984.354166666667</v>
      </c>
    </row>
    <row r="520" customFormat="false" ht="15" hidden="false" customHeight="true" outlineLevel="0" collapsed="false">
      <c r="A520" s="11" t="s">
        <v>1225</v>
      </c>
      <c r="B520" s="11"/>
      <c r="C520" s="11" t="s">
        <v>339</v>
      </c>
      <c r="D520" s="11"/>
      <c r="E520" s="11" t="s">
        <v>356</v>
      </c>
      <c r="F520" s="11" t="s">
        <v>656</v>
      </c>
      <c r="G520" s="11"/>
      <c r="H520" s="11"/>
      <c r="I520" s="11"/>
      <c r="J520" s="11" t="s">
        <v>343</v>
      </c>
    </row>
    <row r="521" customFormat="false" ht="15" hidden="false" customHeight="true" outlineLevel="0" collapsed="false">
      <c r="A521" s="11" t="s">
        <v>1226</v>
      </c>
      <c r="B521" s="11" t="s">
        <v>666</v>
      </c>
      <c r="C521" s="11" t="s">
        <v>414</v>
      </c>
      <c r="D521" s="11"/>
      <c r="E521" s="11" t="s">
        <v>356</v>
      </c>
      <c r="F521" s="11"/>
      <c r="G521" s="11"/>
      <c r="H521" s="11"/>
      <c r="I521" s="11"/>
      <c r="J521" s="11" t="s">
        <v>343</v>
      </c>
      <c r="N521" s="1" t="s">
        <v>666</v>
      </c>
    </row>
    <row r="522" customFormat="false" ht="15" hidden="false" customHeight="true" outlineLevel="0" collapsed="false">
      <c r="A522" s="11" t="s">
        <v>1227</v>
      </c>
      <c r="B522" s="11"/>
      <c r="C522" s="11" t="s">
        <v>346</v>
      </c>
      <c r="D522" s="11" t="s">
        <v>352</v>
      </c>
      <c r="E522" s="11" t="s">
        <v>396</v>
      </c>
      <c r="F522" s="11"/>
      <c r="G522" s="11" t="s">
        <v>84</v>
      </c>
      <c r="H522" s="11"/>
      <c r="I522" s="11"/>
      <c r="J522" s="11" t="s">
        <v>343</v>
      </c>
      <c r="O522" s="1" t="n">
        <f aca="false">'Behovsmodell (75p)'!$B$68</f>
        <v>330040.65</v>
      </c>
      <c r="P522" s="1" t="n">
        <f aca="false">('Behovsmodell (75p)'!$B$68)/12</f>
        <v>27503.3875</v>
      </c>
    </row>
    <row r="523" customFormat="false" ht="15" hidden="false" customHeight="true" outlineLevel="0" collapsed="false">
      <c r="A523" s="11" t="s">
        <v>1228</v>
      </c>
      <c r="B523" s="11"/>
      <c r="C523" s="11" t="s">
        <v>361</v>
      </c>
      <c r="D523" s="11" t="s">
        <v>340</v>
      </c>
      <c r="E523" s="11" t="s">
        <v>356</v>
      </c>
      <c r="F523" s="11"/>
      <c r="G523" s="11"/>
      <c r="H523" s="11" t="s">
        <v>340</v>
      </c>
      <c r="I523" s="11"/>
      <c r="J523" s="11" t="s">
        <v>343</v>
      </c>
    </row>
    <row r="524" customFormat="false" ht="15" hidden="false" customHeight="true" outlineLevel="0" collapsed="false">
      <c r="A524" s="11" t="s">
        <v>1229</v>
      </c>
      <c r="B524" s="11" t="s">
        <v>666</v>
      </c>
      <c r="C524" s="11" t="s">
        <v>414</v>
      </c>
      <c r="D524" s="11"/>
      <c r="E524" s="11" t="s">
        <v>356</v>
      </c>
      <c r="F524" s="11"/>
      <c r="G524" s="11"/>
      <c r="H524" s="11"/>
      <c r="I524" s="11"/>
      <c r="J524" s="11" t="s">
        <v>343</v>
      </c>
    </row>
    <row r="525" customFormat="false" ht="15" hidden="false" customHeight="true" outlineLevel="0" collapsed="false">
      <c r="A525" s="11" t="s">
        <v>1230</v>
      </c>
      <c r="B525" s="11" t="s">
        <v>936</v>
      </c>
      <c r="C525" s="11" t="s">
        <v>457</v>
      </c>
      <c r="D525" s="11" t="s">
        <v>366</v>
      </c>
      <c r="E525" s="11" t="s">
        <v>341</v>
      </c>
      <c r="F525" s="11" t="s">
        <v>358</v>
      </c>
      <c r="G525" s="11"/>
      <c r="H525" s="11" t="s">
        <v>366</v>
      </c>
      <c r="I525" s="11"/>
      <c r="J525" s="11" t="s">
        <v>343</v>
      </c>
    </row>
    <row r="526" customFormat="false" ht="15" hidden="false" customHeight="true" outlineLevel="0" collapsed="false">
      <c r="A526" s="11" t="s">
        <v>1230</v>
      </c>
      <c r="B526" s="11"/>
      <c r="C526" s="11" t="s">
        <v>355</v>
      </c>
      <c r="D526" s="11" t="s">
        <v>366</v>
      </c>
      <c r="E526" s="11" t="s">
        <v>341</v>
      </c>
      <c r="F526" s="11" t="s">
        <v>358</v>
      </c>
      <c r="G526" s="11"/>
      <c r="H526" s="11" t="s">
        <v>366</v>
      </c>
      <c r="I526" s="11"/>
      <c r="J526" s="11" t="s">
        <v>343</v>
      </c>
    </row>
    <row r="527" customFormat="false" ht="15" hidden="false" customHeight="true" outlineLevel="0" collapsed="false">
      <c r="A527" s="11" t="s">
        <v>1230</v>
      </c>
      <c r="B527" s="11"/>
      <c r="C527" s="11" t="s">
        <v>339</v>
      </c>
      <c r="D527" s="11" t="s">
        <v>366</v>
      </c>
      <c r="E527" s="11" t="s">
        <v>341</v>
      </c>
      <c r="F527" s="11" t="s">
        <v>358</v>
      </c>
      <c r="G527" s="11"/>
      <c r="H527" s="11" t="s">
        <v>366</v>
      </c>
      <c r="I527" s="11"/>
      <c r="J527" s="11" t="s">
        <v>343</v>
      </c>
    </row>
    <row r="528" customFormat="false" ht="15" hidden="false" customHeight="true" outlineLevel="0" collapsed="false">
      <c r="A528" s="11" t="s">
        <v>1231</v>
      </c>
      <c r="B528" s="11"/>
      <c r="C528" s="11" t="s">
        <v>351</v>
      </c>
      <c r="D528" s="11"/>
      <c r="E528" s="11" t="s">
        <v>356</v>
      </c>
      <c r="F528" s="11" t="s">
        <v>362</v>
      </c>
      <c r="G528" s="11"/>
      <c r="H528" s="11"/>
      <c r="I528" s="11"/>
      <c r="J528" s="11" t="s">
        <v>343</v>
      </c>
    </row>
    <row r="529" customFormat="false" ht="15" hidden="false" customHeight="true" outlineLevel="0" collapsed="false">
      <c r="A529" s="11" t="s">
        <v>1232</v>
      </c>
      <c r="B529" s="11" t="s">
        <v>338</v>
      </c>
      <c r="C529" s="11" t="s">
        <v>339</v>
      </c>
      <c r="D529" s="11"/>
      <c r="E529" s="11"/>
      <c r="F529" s="11" t="s">
        <v>353</v>
      </c>
      <c r="G529" s="11"/>
      <c r="H529" s="11"/>
      <c r="I529" s="11"/>
      <c r="J529" s="11" t="s">
        <v>343</v>
      </c>
    </row>
    <row r="530" customFormat="false" ht="15" hidden="false" customHeight="true" outlineLevel="0" collapsed="false">
      <c r="A530" s="11" t="s">
        <v>1232</v>
      </c>
      <c r="B530" s="11"/>
      <c r="C530" s="11" t="s">
        <v>361</v>
      </c>
      <c r="D530" s="11"/>
      <c r="E530" s="11"/>
      <c r="F530" s="11" t="s">
        <v>353</v>
      </c>
      <c r="G530" s="11"/>
      <c r="H530" s="11"/>
      <c r="I530" s="11"/>
      <c r="J530" s="11" t="s">
        <v>343</v>
      </c>
    </row>
    <row r="531" customFormat="false" ht="15" hidden="false" customHeight="true" outlineLevel="0" collapsed="false">
      <c r="A531" s="11" t="s">
        <v>1233</v>
      </c>
      <c r="B531" s="11" t="s">
        <v>692</v>
      </c>
      <c r="C531" s="11" t="s">
        <v>355</v>
      </c>
      <c r="D531" s="11" t="s">
        <v>366</v>
      </c>
      <c r="E531" s="11" t="s">
        <v>341</v>
      </c>
      <c r="F531" s="11"/>
      <c r="G531" s="11"/>
      <c r="H531" s="11" t="s">
        <v>366</v>
      </c>
      <c r="I531" s="11"/>
      <c r="J531" s="11" t="s">
        <v>343</v>
      </c>
    </row>
    <row r="532" customFormat="false" ht="15" hidden="false" customHeight="true" outlineLevel="0" collapsed="false">
      <c r="A532" s="11" t="s">
        <v>1234</v>
      </c>
      <c r="B532" s="11" t="s">
        <v>1071</v>
      </c>
      <c r="C532" s="11" t="s">
        <v>536</v>
      </c>
      <c r="D532" s="11"/>
      <c r="E532" s="11" t="s">
        <v>356</v>
      </c>
      <c r="F532" s="11"/>
      <c r="G532" s="11"/>
      <c r="H532" s="11"/>
      <c r="I532" s="11"/>
      <c r="J532" s="11" t="s">
        <v>343</v>
      </c>
    </row>
    <row r="533" customFormat="false" ht="15" hidden="false" customHeight="true" outlineLevel="0" collapsed="false">
      <c r="A533" s="11" t="s">
        <v>1235</v>
      </c>
      <c r="B533" s="11" t="s">
        <v>433</v>
      </c>
      <c r="C533" s="11" t="s">
        <v>346</v>
      </c>
      <c r="D533" s="11" t="s">
        <v>347</v>
      </c>
      <c r="E533" s="11"/>
      <c r="F533" s="11" t="s">
        <v>548</v>
      </c>
      <c r="G533" s="11" t="s">
        <v>31</v>
      </c>
      <c r="H533" s="11"/>
      <c r="I533" s="11"/>
      <c r="J533" s="11" t="s">
        <v>343</v>
      </c>
      <c r="O533" s="1" t="n">
        <f aca="false">'Behovsmodell (75p)'!$B$62</f>
        <v>85559</v>
      </c>
      <c r="P533" s="1" t="n">
        <f aca="false">('Behovsmodell (75p)'!$B$62)/12</f>
        <v>7129.91666666667</v>
      </c>
    </row>
    <row r="534" customFormat="false" ht="15" hidden="false" customHeight="true" outlineLevel="0" collapsed="false">
      <c r="A534" s="11" t="s">
        <v>1235</v>
      </c>
      <c r="B534" s="11"/>
      <c r="C534" s="11" t="s">
        <v>355</v>
      </c>
      <c r="D534" s="11" t="s">
        <v>347</v>
      </c>
      <c r="E534" s="11"/>
      <c r="F534" s="11" t="s">
        <v>548</v>
      </c>
      <c r="G534" s="11" t="s">
        <v>31</v>
      </c>
      <c r="H534" s="11"/>
      <c r="I534" s="11"/>
      <c r="J534" s="11" t="s">
        <v>343</v>
      </c>
      <c r="O534" s="1" t="n">
        <f aca="false">'Behovsmodell (75p)'!$B$62</f>
        <v>85559</v>
      </c>
      <c r="P534" s="1" t="n">
        <f aca="false">('Behovsmodell (75p)'!$B$62)/12</f>
        <v>7129.91666666667</v>
      </c>
    </row>
    <row r="535" customFormat="false" ht="15" hidden="false" customHeight="true" outlineLevel="0" collapsed="false">
      <c r="A535" s="11" t="s">
        <v>1236</v>
      </c>
      <c r="B535" s="11" t="s">
        <v>1237</v>
      </c>
      <c r="C535" s="11" t="s">
        <v>339</v>
      </c>
      <c r="D535" s="11" t="s">
        <v>366</v>
      </c>
      <c r="E535" s="11" t="s">
        <v>341</v>
      </c>
      <c r="F535" s="11" t="s">
        <v>358</v>
      </c>
      <c r="G535" s="11"/>
      <c r="H535" s="11" t="s">
        <v>366</v>
      </c>
      <c r="I535" s="11"/>
      <c r="J535" s="11" t="s">
        <v>343</v>
      </c>
    </row>
    <row r="536" customFormat="false" ht="15" hidden="false" customHeight="true" outlineLevel="0" collapsed="false">
      <c r="A536" s="11" t="s">
        <v>1238</v>
      </c>
      <c r="B536" s="11"/>
      <c r="C536" s="11" t="s">
        <v>355</v>
      </c>
      <c r="D536" s="11" t="s">
        <v>340</v>
      </c>
      <c r="E536" s="11" t="s">
        <v>341</v>
      </c>
      <c r="F536" s="11" t="s">
        <v>656</v>
      </c>
      <c r="G536" s="11"/>
      <c r="H536" s="11" t="s">
        <v>340</v>
      </c>
      <c r="I536" s="11"/>
      <c r="J536" s="11" t="s">
        <v>343</v>
      </c>
    </row>
    <row r="537" customFormat="false" ht="15" hidden="false" customHeight="true" outlineLevel="0" collapsed="false">
      <c r="A537" s="11" t="s">
        <v>1239</v>
      </c>
      <c r="B537" s="11" t="s">
        <v>692</v>
      </c>
      <c r="C537" s="11" t="s">
        <v>355</v>
      </c>
      <c r="D537" s="11" t="s">
        <v>340</v>
      </c>
      <c r="E537" s="11" t="s">
        <v>341</v>
      </c>
      <c r="F537" s="11" t="s">
        <v>1240</v>
      </c>
      <c r="G537" s="11"/>
      <c r="H537" s="11" t="s">
        <v>340</v>
      </c>
      <c r="I537" s="11"/>
      <c r="J537" s="11" t="s">
        <v>343</v>
      </c>
    </row>
    <row r="538" customFormat="false" ht="15" hidden="false" customHeight="true" outlineLevel="0" collapsed="false">
      <c r="A538" s="11" t="s">
        <v>1241</v>
      </c>
      <c r="B538" s="11"/>
      <c r="C538" s="11" t="s">
        <v>355</v>
      </c>
      <c r="D538" s="11" t="s">
        <v>366</v>
      </c>
      <c r="E538" s="11" t="s">
        <v>341</v>
      </c>
      <c r="F538" s="11"/>
      <c r="G538" s="11"/>
      <c r="H538" s="11" t="s">
        <v>366</v>
      </c>
      <c r="I538" s="11"/>
      <c r="J538" s="11" t="s">
        <v>343</v>
      </c>
    </row>
    <row r="539" customFormat="false" ht="15" hidden="false" customHeight="true" outlineLevel="0" collapsed="false">
      <c r="A539" s="11" t="s">
        <v>1242</v>
      </c>
      <c r="B539" s="11"/>
      <c r="C539" s="11" t="s">
        <v>339</v>
      </c>
      <c r="D539" s="11"/>
      <c r="E539" s="11" t="s">
        <v>356</v>
      </c>
      <c r="F539" s="11" t="s">
        <v>362</v>
      </c>
      <c r="G539" s="11"/>
      <c r="H539" s="11"/>
      <c r="I539" s="11"/>
      <c r="J539" s="11" t="s">
        <v>343</v>
      </c>
    </row>
    <row r="540" customFormat="false" ht="15" hidden="false" customHeight="true" outlineLevel="0" collapsed="false">
      <c r="A540" s="11" t="s">
        <v>1243</v>
      </c>
      <c r="B540" s="11"/>
      <c r="C540" s="11" t="s">
        <v>346</v>
      </c>
      <c r="D540" s="11" t="s">
        <v>347</v>
      </c>
      <c r="E540" s="11"/>
      <c r="F540" s="11"/>
      <c r="G540" s="11" t="s">
        <v>31</v>
      </c>
      <c r="H540" s="11"/>
      <c r="I540" s="11"/>
      <c r="J540" s="11" t="s">
        <v>343</v>
      </c>
      <c r="O540" s="1" t="n">
        <f aca="false">'Behovsmodell (75p)'!$B$62</f>
        <v>85559</v>
      </c>
      <c r="P540" s="1" t="n">
        <f aca="false">('Behovsmodell (75p)'!$B$62)/12</f>
        <v>7129.91666666667</v>
      </c>
    </row>
    <row r="541" customFormat="false" ht="15" hidden="false" customHeight="true" outlineLevel="0" collapsed="false">
      <c r="A541" s="11" t="s">
        <v>1244</v>
      </c>
      <c r="B541" s="11"/>
      <c r="C541" s="11" t="s">
        <v>346</v>
      </c>
      <c r="D541" s="11"/>
      <c r="E541" s="11" t="s">
        <v>356</v>
      </c>
      <c r="F541" s="11"/>
      <c r="G541" s="11"/>
      <c r="H541" s="11"/>
      <c r="I541" s="11"/>
      <c r="J541" s="11" t="s">
        <v>343</v>
      </c>
    </row>
    <row r="542" customFormat="false" ht="15" hidden="false" customHeight="true" outlineLevel="0" collapsed="false">
      <c r="A542" s="11" t="s">
        <v>1245</v>
      </c>
      <c r="B542" s="11"/>
      <c r="C542" s="11" t="s">
        <v>361</v>
      </c>
      <c r="D542" s="11"/>
      <c r="E542" s="11" t="s">
        <v>356</v>
      </c>
      <c r="F542" s="11"/>
      <c r="G542" s="11"/>
      <c r="H542" s="11"/>
      <c r="I542" s="11"/>
      <c r="J542" s="11" t="s">
        <v>343</v>
      </c>
    </row>
    <row r="543" customFormat="false" ht="15" hidden="false" customHeight="true" outlineLevel="0" collapsed="false">
      <c r="A543" s="11" t="s">
        <v>1246</v>
      </c>
      <c r="B543" s="11"/>
      <c r="C543" s="11" t="s">
        <v>339</v>
      </c>
      <c r="D543" s="11" t="s">
        <v>375</v>
      </c>
      <c r="E543" s="11" t="s">
        <v>356</v>
      </c>
      <c r="F543" s="11"/>
      <c r="G543" s="11" t="s">
        <v>68</v>
      </c>
      <c r="H543" s="11"/>
      <c r="I543" s="11"/>
      <c r="J543" s="11" t="s">
        <v>343</v>
      </c>
      <c r="O543" s="1" t="n">
        <f aca="false">'Behovsmodell (75p)'!$B$66</f>
        <v>206427.05</v>
      </c>
      <c r="P543" s="1" t="n">
        <f aca="false">('Behovsmodell (75p)'!$B$66)/12</f>
        <v>17202.2541666667</v>
      </c>
    </row>
    <row r="544" customFormat="false" ht="15" hidden="false" customHeight="true" outlineLevel="0" collapsed="false">
      <c r="A544" s="11" t="s">
        <v>1247</v>
      </c>
      <c r="B544" s="11"/>
      <c r="C544" s="11" t="s">
        <v>245</v>
      </c>
      <c r="D544" s="11" t="s">
        <v>366</v>
      </c>
      <c r="E544" s="11" t="s">
        <v>341</v>
      </c>
      <c r="F544" s="11"/>
      <c r="G544" s="11"/>
      <c r="H544" s="11" t="s">
        <v>366</v>
      </c>
      <c r="I544" s="11"/>
      <c r="J544" s="11" t="s">
        <v>343</v>
      </c>
      <c r="K544" s="1" t="s">
        <v>1248</v>
      </c>
      <c r="L544" s="1" t="s">
        <v>1249</v>
      </c>
      <c r="M544" s="1" t="s">
        <v>1250</v>
      </c>
      <c r="N544" s="1" t="s">
        <v>1251</v>
      </c>
    </row>
    <row r="545" customFormat="false" ht="15" hidden="false" customHeight="true" outlineLevel="0" collapsed="false">
      <c r="A545" s="11" t="s">
        <v>1252</v>
      </c>
      <c r="B545" s="11"/>
      <c r="C545" s="11" t="s">
        <v>245</v>
      </c>
      <c r="D545" s="11" t="s">
        <v>366</v>
      </c>
      <c r="E545" s="11" t="s">
        <v>341</v>
      </c>
      <c r="F545" s="11"/>
      <c r="G545" s="11"/>
      <c r="H545" s="11" t="s">
        <v>366</v>
      </c>
      <c r="I545" s="11"/>
      <c r="J545" s="11" t="s">
        <v>343</v>
      </c>
      <c r="K545" s="1" t="s">
        <v>1248</v>
      </c>
      <c r="L545" s="1" t="s">
        <v>1249</v>
      </c>
      <c r="M545" s="1" t="s">
        <v>1250</v>
      </c>
      <c r="N545" s="1" t="s">
        <v>1251</v>
      </c>
    </row>
    <row r="546" customFormat="false" ht="15" hidden="false" customHeight="true" outlineLevel="0" collapsed="false">
      <c r="A546" s="11" t="s">
        <v>1253</v>
      </c>
      <c r="B546" s="11"/>
      <c r="C546" s="11" t="s">
        <v>339</v>
      </c>
      <c r="D546" s="11" t="s">
        <v>347</v>
      </c>
      <c r="E546" s="11" t="s">
        <v>356</v>
      </c>
      <c r="F546" s="11"/>
      <c r="G546" s="11" t="s">
        <v>31</v>
      </c>
      <c r="H546" s="11"/>
      <c r="I546" s="11"/>
      <c r="J546" s="11" t="s">
        <v>343</v>
      </c>
      <c r="O546" s="1" t="n">
        <f aca="false">'Behovsmodell (75p)'!$B$62</f>
        <v>85559</v>
      </c>
      <c r="P546" s="1" t="n">
        <f aca="false">('Behovsmodell (75p)'!$B$62)/12</f>
        <v>7129.91666666667</v>
      </c>
    </row>
    <row r="547" customFormat="false" ht="15" hidden="false" customHeight="true" outlineLevel="0" collapsed="false">
      <c r="A547" s="11" t="s">
        <v>1254</v>
      </c>
      <c r="B547" s="11"/>
      <c r="C547" s="11" t="s">
        <v>346</v>
      </c>
      <c r="D547" s="11" t="s">
        <v>347</v>
      </c>
      <c r="E547" s="11"/>
      <c r="F547" s="11" t="s">
        <v>1130</v>
      </c>
      <c r="G547" s="11" t="s">
        <v>31</v>
      </c>
      <c r="H547" s="11"/>
      <c r="I547" s="11"/>
      <c r="J547" s="11" t="s">
        <v>343</v>
      </c>
      <c r="O547" s="1" t="n">
        <f aca="false">'Behovsmodell (75p)'!$B$62</f>
        <v>85559</v>
      </c>
      <c r="P547" s="1" t="n">
        <f aca="false">('Behovsmodell (75p)'!$B$62)/12</f>
        <v>7129.91666666667</v>
      </c>
    </row>
    <row r="548" customFormat="false" ht="15" hidden="false" customHeight="true" outlineLevel="0" collapsed="false">
      <c r="A548" s="11" t="s">
        <v>1255</v>
      </c>
      <c r="B548" s="11" t="s">
        <v>609</v>
      </c>
      <c r="C548" s="11" t="s">
        <v>339</v>
      </c>
      <c r="D548" s="11" t="s">
        <v>375</v>
      </c>
      <c r="E548" s="11" t="s">
        <v>356</v>
      </c>
      <c r="F548" s="11" t="s">
        <v>358</v>
      </c>
      <c r="G548" s="11" t="s">
        <v>68</v>
      </c>
      <c r="H548" s="11"/>
      <c r="I548" s="11"/>
      <c r="J548" s="11" t="s">
        <v>343</v>
      </c>
      <c r="O548" s="1" t="n">
        <f aca="false">'Behovsmodell (75p)'!$B$66</f>
        <v>206427.05</v>
      </c>
      <c r="P548" s="1" t="n">
        <f aca="false">('Behovsmodell (75p)'!$B$66)/12</f>
        <v>17202.2541666667</v>
      </c>
    </row>
    <row r="549" customFormat="false" ht="15" hidden="false" customHeight="true" outlineLevel="0" collapsed="false">
      <c r="A549" s="11" t="s">
        <v>1256</v>
      </c>
      <c r="B549" s="11" t="s">
        <v>1237</v>
      </c>
      <c r="C549" s="11" t="s">
        <v>339</v>
      </c>
      <c r="D549" s="11" t="s">
        <v>347</v>
      </c>
      <c r="E549" s="11"/>
      <c r="F549" s="11"/>
      <c r="G549" s="11" t="s">
        <v>31</v>
      </c>
      <c r="H549" s="11"/>
      <c r="I549" s="11"/>
      <c r="J549" s="11" t="s">
        <v>343</v>
      </c>
      <c r="O549" s="1" t="n">
        <f aca="false">'Behovsmodell (75p)'!$B$62</f>
        <v>85559</v>
      </c>
      <c r="P549" s="1" t="n">
        <f aca="false">('Behovsmodell (75p)'!$B$62)/12</f>
        <v>7129.91666666667</v>
      </c>
    </row>
    <row r="550" customFormat="false" ht="15" hidden="false" customHeight="true" outlineLevel="0" collapsed="false">
      <c r="A550" s="11" t="s">
        <v>1257</v>
      </c>
      <c r="B550" s="11"/>
      <c r="C550" s="11" t="s">
        <v>339</v>
      </c>
      <c r="D550" s="11" t="s">
        <v>352</v>
      </c>
      <c r="E550" s="11"/>
      <c r="F550" s="11"/>
      <c r="G550" s="11" t="s">
        <v>84</v>
      </c>
      <c r="H550" s="11"/>
      <c r="I550" s="11"/>
      <c r="J550" s="11" t="s">
        <v>343</v>
      </c>
      <c r="K550" s="1" t="s">
        <v>220</v>
      </c>
      <c r="L550" s="1" t="s">
        <v>1258</v>
      </c>
      <c r="M550" s="1" t="s">
        <v>1259</v>
      </c>
      <c r="N550" s="1" t="s">
        <v>1260</v>
      </c>
      <c r="O550" s="1" t="n">
        <f aca="false">'Behovsmodell (75p)'!$B$68</f>
        <v>330040.65</v>
      </c>
      <c r="P550" s="1" t="n">
        <f aca="false">('Behovsmodell (75p)'!$B$68)/12</f>
        <v>27503.3875</v>
      </c>
    </row>
    <row r="551" customFormat="false" ht="15" hidden="false" customHeight="true" outlineLevel="0" collapsed="false">
      <c r="A551" s="11" t="s">
        <v>1257</v>
      </c>
      <c r="B551" s="11"/>
      <c r="C551" s="11" t="s">
        <v>361</v>
      </c>
      <c r="D551" s="11" t="s">
        <v>352</v>
      </c>
      <c r="E551" s="11" t="s">
        <v>356</v>
      </c>
      <c r="F551" s="11"/>
      <c r="G551" s="11" t="s">
        <v>84</v>
      </c>
      <c r="H551" s="11"/>
      <c r="I551" s="11"/>
      <c r="J551" s="11" t="s">
        <v>343</v>
      </c>
      <c r="K551" s="1" t="s">
        <v>220</v>
      </c>
      <c r="L551" s="1" t="s">
        <v>1258</v>
      </c>
      <c r="M551" s="1" t="s">
        <v>1259</v>
      </c>
      <c r="N551" s="1" t="s">
        <v>1260</v>
      </c>
      <c r="O551" s="1" t="n">
        <f aca="false">'Behovsmodell (75p)'!$B$68</f>
        <v>330040.65</v>
      </c>
      <c r="P551" s="1" t="n">
        <f aca="false">('Behovsmodell (75p)'!$B$68)/12</f>
        <v>27503.3875</v>
      </c>
    </row>
    <row r="552" customFormat="false" ht="15" hidden="false" customHeight="true" outlineLevel="0" collapsed="false">
      <c r="A552" s="11" t="s">
        <v>1261</v>
      </c>
      <c r="B552" s="11"/>
      <c r="C552" s="11" t="s">
        <v>361</v>
      </c>
      <c r="D552" s="11" t="s">
        <v>347</v>
      </c>
      <c r="E552" s="11" t="s">
        <v>356</v>
      </c>
      <c r="F552" s="11"/>
      <c r="G552" s="11" t="s">
        <v>31</v>
      </c>
      <c r="H552" s="11"/>
      <c r="I552" s="11"/>
      <c r="J552" s="11" t="s">
        <v>343</v>
      </c>
      <c r="O552" s="1" t="n">
        <f aca="false">'Behovsmodell (75p)'!$B$62</f>
        <v>85559</v>
      </c>
      <c r="P552" s="1" t="n">
        <f aca="false">('Behovsmodell (75p)'!$B$62)/12</f>
        <v>7129.91666666667</v>
      </c>
    </row>
    <row r="553" customFormat="false" ht="15" hidden="false" customHeight="true" outlineLevel="0" collapsed="false">
      <c r="A553" s="11" t="s">
        <v>1262</v>
      </c>
      <c r="B553" s="11" t="s">
        <v>1079</v>
      </c>
      <c r="C553" s="11" t="s">
        <v>414</v>
      </c>
      <c r="D553" s="11" t="s">
        <v>340</v>
      </c>
      <c r="E553" s="11" t="s">
        <v>341</v>
      </c>
      <c r="F553" s="11"/>
      <c r="G553" s="11"/>
      <c r="H553" s="11" t="s">
        <v>340</v>
      </c>
      <c r="I553" s="11"/>
      <c r="J553" s="11" t="s">
        <v>343</v>
      </c>
    </row>
    <row r="554" customFormat="false" ht="15" hidden="false" customHeight="true" outlineLevel="0" collapsed="false">
      <c r="A554" s="11" t="s">
        <v>1263</v>
      </c>
      <c r="B554" s="11" t="s">
        <v>595</v>
      </c>
      <c r="C554" s="11" t="s">
        <v>536</v>
      </c>
      <c r="D554" s="11" t="s">
        <v>340</v>
      </c>
      <c r="E554" s="11" t="s">
        <v>341</v>
      </c>
      <c r="F554" s="11"/>
      <c r="G554" s="11"/>
      <c r="H554" s="11" t="s">
        <v>340</v>
      </c>
      <c r="I554" s="11"/>
      <c r="J554" s="11" t="s">
        <v>343</v>
      </c>
    </row>
    <row r="555" customFormat="false" ht="15" hidden="false" customHeight="true" outlineLevel="0" collapsed="false">
      <c r="A555" s="11" t="s">
        <v>1264</v>
      </c>
      <c r="B555" s="11" t="s">
        <v>424</v>
      </c>
      <c r="C555" s="11" t="s">
        <v>339</v>
      </c>
      <c r="D555" s="11"/>
      <c r="E555" s="11" t="s">
        <v>356</v>
      </c>
      <c r="F555" s="11" t="s">
        <v>472</v>
      </c>
      <c r="G555" s="11"/>
      <c r="H555" s="11"/>
      <c r="I555" s="11"/>
      <c r="J555" s="11" t="s">
        <v>343</v>
      </c>
    </row>
    <row r="556" customFormat="false" ht="15" hidden="false" customHeight="true" outlineLevel="0" collapsed="false">
      <c r="A556" s="11" t="s">
        <v>1265</v>
      </c>
      <c r="B556" s="11" t="s">
        <v>408</v>
      </c>
      <c r="C556" s="11" t="s">
        <v>355</v>
      </c>
      <c r="D556" s="11"/>
      <c r="E556" s="11" t="s">
        <v>356</v>
      </c>
      <c r="F556" s="11" t="s">
        <v>435</v>
      </c>
      <c r="G556" s="11"/>
      <c r="H556" s="11"/>
      <c r="I556" s="11"/>
      <c r="J556" s="11" t="s">
        <v>343</v>
      </c>
    </row>
    <row r="557" customFormat="false" ht="15" hidden="false" customHeight="true" outlineLevel="0" collapsed="false">
      <c r="A557" s="11" t="s">
        <v>1266</v>
      </c>
      <c r="B557" s="11" t="s">
        <v>338</v>
      </c>
      <c r="C557" s="11" t="s">
        <v>339</v>
      </c>
      <c r="D557" s="11" t="s">
        <v>340</v>
      </c>
      <c r="E557" s="11" t="s">
        <v>341</v>
      </c>
      <c r="F557" s="11" t="s">
        <v>342</v>
      </c>
      <c r="G557" s="11"/>
      <c r="H557" s="11" t="s">
        <v>340</v>
      </c>
      <c r="I557" s="11"/>
      <c r="J557" s="11" t="s">
        <v>343</v>
      </c>
    </row>
    <row r="558" customFormat="false" ht="15" hidden="false" customHeight="true" outlineLevel="0" collapsed="false">
      <c r="A558" s="11" t="s">
        <v>1267</v>
      </c>
      <c r="B558" s="11" t="s">
        <v>1268</v>
      </c>
      <c r="C558" s="11" t="s">
        <v>536</v>
      </c>
      <c r="D558" s="11"/>
      <c r="E558" s="11" t="s">
        <v>356</v>
      </c>
      <c r="F558" s="11"/>
      <c r="G558" s="11"/>
      <c r="H558" s="11"/>
      <c r="I558" s="11"/>
      <c r="J558" s="11" t="s">
        <v>343</v>
      </c>
    </row>
    <row r="559" customFormat="false" ht="15" hidden="false" customHeight="true" outlineLevel="0" collapsed="false">
      <c r="A559" s="11" t="s">
        <v>1269</v>
      </c>
      <c r="B559" s="11" t="s">
        <v>597</v>
      </c>
      <c r="C559" s="11" t="s">
        <v>597</v>
      </c>
      <c r="D559" s="11" t="s">
        <v>395</v>
      </c>
      <c r="E559" s="11" t="s">
        <v>356</v>
      </c>
      <c r="F559" s="11" t="s">
        <v>629</v>
      </c>
      <c r="G559" s="11" t="s">
        <v>129</v>
      </c>
      <c r="H559" s="11"/>
      <c r="I559" s="11"/>
      <c r="J559" s="11" t="s">
        <v>343</v>
      </c>
      <c r="O559" s="1" t="n">
        <f aca="false">'Behovsmodell (75p)'!$B$76</f>
        <v>111099</v>
      </c>
      <c r="P559" s="1" t="n">
        <f aca="false">('Behovsmodell (75p)'!$B$76)/12</f>
        <v>9258.25</v>
      </c>
    </row>
    <row r="560" customFormat="false" ht="15" hidden="false" customHeight="true" outlineLevel="0" collapsed="false">
      <c r="A560" s="11" t="s">
        <v>1270</v>
      </c>
      <c r="B560" s="11" t="s">
        <v>668</v>
      </c>
      <c r="C560" s="11" t="s">
        <v>355</v>
      </c>
      <c r="D560" s="11" t="s">
        <v>340</v>
      </c>
      <c r="E560" s="11" t="s">
        <v>341</v>
      </c>
      <c r="F560" s="11" t="s">
        <v>674</v>
      </c>
      <c r="G560" s="11"/>
      <c r="H560" s="11" t="s">
        <v>340</v>
      </c>
      <c r="I560" s="11"/>
      <c r="J560" s="11" t="s">
        <v>343</v>
      </c>
    </row>
    <row r="561" customFormat="false" ht="15" hidden="false" customHeight="true" outlineLevel="0" collapsed="false">
      <c r="A561" s="11" t="s">
        <v>1271</v>
      </c>
      <c r="B561" s="11" t="s">
        <v>338</v>
      </c>
      <c r="C561" s="11" t="s">
        <v>339</v>
      </c>
      <c r="D561" s="11"/>
      <c r="E561" s="11"/>
      <c r="F561" s="11" t="s">
        <v>1272</v>
      </c>
      <c r="G561" s="11"/>
      <c r="H561" s="11"/>
      <c r="I561" s="11"/>
      <c r="J561" s="11" t="s">
        <v>343</v>
      </c>
    </row>
    <row r="562" customFormat="false" ht="15" hidden="false" customHeight="true" outlineLevel="0" collapsed="false">
      <c r="A562" s="11" t="s">
        <v>1273</v>
      </c>
      <c r="B562" s="11" t="s">
        <v>671</v>
      </c>
      <c r="C562" s="11" t="s">
        <v>355</v>
      </c>
      <c r="D562" s="11"/>
      <c r="E562" s="11" t="s">
        <v>356</v>
      </c>
      <c r="F562" s="11"/>
      <c r="G562" s="11"/>
      <c r="H562" s="11"/>
      <c r="I562" s="11"/>
      <c r="J562" s="11" t="s">
        <v>343</v>
      </c>
    </row>
    <row r="563" customFormat="false" ht="15" hidden="false" customHeight="true" outlineLevel="0" collapsed="false">
      <c r="A563" s="11" t="s">
        <v>1274</v>
      </c>
      <c r="B563" s="11"/>
      <c r="C563" s="11" t="s">
        <v>339</v>
      </c>
      <c r="D563" s="11" t="s">
        <v>347</v>
      </c>
      <c r="E563" s="11"/>
      <c r="F563" s="11" t="s">
        <v>358</v>
      </c>
      <c r="G563" s="11" t="s">
        <v>31</v>
      </c>
      <c r="H563" s="11"/>
      <c r="I563" s="11"/>
      <c r="J563" s="11" t="s">
        <v>343</v>
      </c>
      <c r="O563" s="1" t="n">
        <f aca="false">'Behovsmodell (75p)'!$B$62</f>
        <v>85559</v>
      </c>
      <c r="P563" s="1" t="n">
        <f aca="false">('Behovsmodell (75p)'!$B$62)/12</f>
        <v>7129.91666666667</v>
      </c>
    </row>
    <row r="564" customFormat="false" ht="15" hidden="false" customHeight="true" outlineLevel="0" collapsed="false">
      <c r="A564" s="11" t="s">
        <v>1275</v>
      </c>
      <c r="B564" s="11"/>
      <c r="C564" s="11" t="s">
        <v>245</v>
      </c>
      <c r="D564" s="11"/>
      <c r="E564" s="11" t="s">
        <v>356</v>
      </c>
      <c r="F564" s="11" t="s">
        <v>1276</v>
      </c>
      <c r="G564" s="11"/>
      <c r="H564" s="11"/>
      <c r="I564" s="11"/>
      <c r="J564" s="11" t="s">
        <v>343</v>
      </c>
    </row>
    <row r="565" customFormat="false" ht="15" hidden="false" customHeight="true" outlineLevel="0" collapsed="false">
      <c r="A565" s="11" t="s">
        <v>1277</v>
      </c>
      <c r="B565" s="11" t="s">
        <v>695</v>
      </c>
      <c r="C565" s="11" t="s">
        <v>351</v>
      </c>
      <c r="D565" s="11" t="s">
        <v>347</v>
      </c>
      <c r="E565" s="11" t="s">
        <v>356</v>
      </c>
      <c r="F565" s="11"/>
      <c r="G565" s="11" t="s">
        <v>31</v>
      </c>
      <c r="H565" s="11"/>
      <c r="I565" s="11"/>
      <c r="J565" s="11" t="s">
        <v>343</v>
      </c>
      <c r="O565" s="1" t="n">
        <f aca="false">'Behovsmodell (75p)'!$B$62</f>
        <v>85559</v>
      </c>
      <c r="P565" s="1" t="n">
        <f aca="false">('Behovsmodell (75p)'!$B$62)/12</f>
        <v>7129.91666666667</v>
      </c>
    </row>
    <row r="566" customFormat="false" ht="15" hidden="false" customHeight="true" outlineLevel="0" collapsed="false">
      <c r="A566" s="11" t="s">
        <v>1278</v>
      </c>
      <c r="B566" s="11"/>
      <c r="C566" s="11" t="s">
        <v>339</v>
      </c>
      <c r="D566" s="11" t="s">
        <v>347</v>
      </c>
      <c r="E566" s="11"/>
      <c r="F566" s="11"/>
      <c r="G566" s="11" t="s">
        <v>31</v>
      </c>
      <c r="H566" s="11"/>
      <c r="I566" s="11"/>
      <c r="J566" s="11" t="s">
        <v>343</v>
      </c>
      <c r="O566" s="1" t="n">
        <f aca="false">'Behovsmodell (75p)'!$B$62</f>
        <v>85559</v>
      </c>
      <c r="P566" s="1" t="n">
        <f aca="false">('Behovsmodell (75p)'!$B$62)/12</f>
        <v>7129.91666666667</v>
      </c>
    </row>
    <row r="567" customFormat="false" ht="15" hidden="false" customHeight="true" outlineLevel="0" collapsed="false">
      <c r="A567" s="11" t="s">
        <v>1278</v>
      </c>
      <c r="B567" s="11" t="s">
        <v>437</v>
      </c>
      <c r="C567" s="11" t="s">
        <v>361</v>
      </c>
      <c r="D567" s="11" t="s">
        <v>347</v>
      </c>
      <c r="E567" s="11"/>
      <c r="F567" s="11"/>
      <c r="G567" s="11" t="s">
        <v>31</v>
      </c>
      <c r="H567" s="11"/>
      <c r="I567" s="11"/>
      <c r="J567" s="11" t="s">
        <v>343</v>
      </c>
      <c r="O567" s="1" t="n">
        <f aca="false">'Behovsmodell (75p)'!$B$62</f>
        <v>85559</v>
      </c>
      <c r="P567" s="1" t="n">
        <f aca="false">('Behovsmodell (75p)'!$B$62)/12</f>
        <v>7129.91666666667</v>
      </c>
    </row>
    <row r="568" customFormat="false" ht="15" hidden="false" customHeight="true" outlineLevel="0" collapsed="false">
      <c r="A568" s="11" t="s">
        <v>1279</v>
      </c>
      <c r="B568" s="11"/>
      <c r="C568" s="11" t="s">
        <v>339</v>
      </c>
      <c r="D568" s="11"/>
      <c r="E568" s="11" t="s">
        <v>356</v>
      </c>
      <c r="F568" s="11" t="s">
        <v>358</v>
      </c>
      <c r="G568" s="11"/>
      <c r="H568" s="11"/>
      <c r="I568" s="11"/>
      <c r="J568" s="11" t="s">
        <v>343</v>
      </c>
    </row>
    <row r="569" customFormat="false" ht="15" hidden="false" customHeight="true" outlineLevel="0" collapsed="false">
      <c r="A569" s="11" t="s">
        <v>1280</v>
      </c>
      <c r="B569" s="11" t="s">
        <v>388</v>
      </c>
      <c r="C569" s="11" t="s">
        <v>388</v>
      </c>
      <c r="D569" s="11"/>
      <c r="E569" s="11" t="s">
        <v>396</v>
      </c>
      <c r="F569" s="11" t="s">
        <v>1281</v>
      </c>
      <c r="G569" s="11"/>
      <c r="H569" s="11"/>
      <c r="I569" s="11"/>
      <c r="J569" s="11" t="s">
        <v>343</v>
      </c>
    </row>
    <row r="570" customFormat="false" ht="15" hidden="false" customHeight="true" outlineLevel="0" collapsed="false">
      <c r="A570" s="11" t="s">
        <v>1282</v>
      </c>
      <c r="B570" s="11" t="s">
        <v>424</v>
      </c>
      <c r="C570" s="11" t="s">
        <v>339</v>
      </c>
      <c r="D570" s="11" t="s">
        <v>340</v>
      </c>
      <c r="E570" s="11" t="s">
        <v>341</v>
      </c>
      <c r="F570" s="11" t="s">
        <v>831</v>
      </c>
      <c r="G570" s="11"/>
      <c r="H570" s="11" t="s">
        <v>340</v>
      </c>
      <c r="I570" s="11"/>
      <c r="J570" s="11" t="s">
        <v>343</v>
      </c>
    </row>
    <row r="571" customFormat="false" ht="15" hidden="false" customHeight="true" outlineLevel="0" collapsed="false">
      <c r="A571" s="11" t="s">
        <v>1283</v>
      </c>
      <c r="B571" s="11" t="s">
        <v>368</v>
      </c>
      <c r="C571" s="11" t="s">
        <v>361</v>
      </c>
      <c r="D571" s="11"/>
      <c r="E571" s="11" t="s">
        <v>356</v>
      </c>
      <c r="F571" s="11" t="s">
        <v>777</v>
      </c>
      <c r="G571" s="11"/>
      <c r="H571" s="11"/>
      <c r="I571" s="11"/>
      <c r="J571" s="11" t="s">
        <v>343</v>
      </c>
    </row>
    <row r="572" customFormat="false" ht="15" hidden="false" customHeight="true" outlineLevel="0" collapsed="false">
      <c r="A572" s="11" t="s">
        <v>1284</v>
      </c>
      <c r="B572" s="11"/>
      <c r="C572" s="11" t="s">
        <v>403</v>
      </c>
      <c r="D572" s="11" t="s">
        <v>352</v>
      </c>
      <c r="E572" s="11"/>
      <c r="F572" s="11" t="s">
        <v>362</v>
      </c>
      <c r="G572" s="11" t="s">
        <v>84</v>
      </c>
      <c r="H572" s="11"/>
      <c r="I572" s="11"/>
      <c r="J572" s="11" t="s">
        <v>343</v>
      </c>
      <c r="O572" s="1" t="n">
        <f aca="false">'Behovsmodell (75p)'!$B$68</f>
        <v>330040.65</v>
      </c>
      <c r="P572" s="1" t="n">
        <f aca="false">('Behovsmodell (75p)'!$B$68)/12</f>
        <v>27503.3875</v>
      </c>
    </row>
    <row r="573" customFormat="false" ht="15" hidden="false" customHeight="true" outlineLevel="0" collapsed="false">
      <c r="A573" s="11" t="s">
        <v>1285</v>
      </c>
      <c r="B573" s="11"/>
      <c r="C573" s="11" t="s">
        <v>339</v>
      </c>
      <c r="D573" s="11" t="s">
        <v>395</v>
      </c>
      <c r="E573" s="11" t="s">
        <v>356</v>
      </c>
      <c r="F573" s="11"/>
      <c r="G573" s="11" t="s">
        <v>129</v>
      </c>
      <c r="H573" s="11"/>
      <c r="I573" s="11"/>
      <c r="J573" s="11" t="s">
        <v>343</v>
      </c>
      <c r="O573" s="1" t="n">
        <f aca="false">'Behovsmodell (75p)'!$B$76</f>
        <v>111099</v>
      </c>
      <c r="P573" s="1" t="n">
        <f aca="false">('Behovsmodell (75p)'!$B$76)/12</f>
        <v>9258.25</v>
      </c>
    </row>
    <row r="574" customFormat="false" ht="15" hidden="false" customHeight="true" outlineLevel="0" collapsed="false">
      <c r="A574" s="11" t="s">
        <v>1286</v>
      </c>
      <c r="B574" s="11" t="s">
        <v>1214</v>
      </c>
      <c r="C574" s="11" t="s">
        <v>339</v>
      </c>
      <c r="D574" s="11" t="s">
        <v>366</v>
      </c>
      <c r="E574" s="11" t="s">
        <v>396</v>
      </c>
      <c r="F574" s="11"/>
      <c r="G574" s="11"/>
      <c r="H574" s="11" t="s">
        <v>366</v>
      </c>
      <c r="I574" s="11"/>
      <c r="J574" s="11" t="s">
        <v>343</v>
      </c>
    </row>
    <row r="575" customFormat="false" ht="15" hidden="false" customHeight="true" outlineLevel="0" collapsed="false">
      <c r="A575" s="11" t="s">
        <v>1287</v>
      </c>
      <c r="B575" s="11" t="s">
        <v>338</v>
      </c>
      <c r="C575" s="11" t="s">
        <v>339</v>
      </c>
      <c r="D575" s="11" t="s">
        <v>366</v>
      </c>
      <c r="E575" s="11" t="s">
        <v>341</v>
      </c>
      <c r="F575" s="11" t="s">
        <v>516</v>
      </c>
      <c r="G575" s="11"/>
      <c r="H575" s="11" t="s">
        <v>366</v>
      </c>
      <c r="I575" s="11"/>
      <c r="J575" s="11" t="s">
        <v>343</v>
      </c>
    </row>
    <row r="576" customFormat="false" ht="15" hidden="false" customHeight="true" outlineLevel="0" collapsed="false">
      <c r="A576" s="11" t="s">
        <v>1288</v>
      </c>
      <c r="B576" s="11" t="s">
        <v>403</v>
      </c>
      <c r="C576" s="11" t="s">
        <v>403</v>
      </c>
      <c r="D576" s="11" t="s">
        <v>395</v>
      </c>
      <c r="E576" s="11" t="s">
        <v>396</v>
      </c>
      <c r="F576" s="11" t="s">
        <v>516</v>
      </c>
      <c r="G576" s="11" t="s">
        <v>129</v>
      </c>
      <c r="H576" s="11"/>
      <c r="I576" s="11"/>
      <c r="J576" s="11" t="s">
        <v>343</v>
      </c>
      <c r="O576" s="1" t="n">
        <f aca="false">'Behovsmodell (75p)'!$B$76</f>
        <v>111099</v>
      </c>
      <c r="P576" s="1" t="n">
        <f aca="false">('Behovsmodell (75p)'!$B$76)/12</f>
        <v>9258.25</v>
      </c>
    </row>
    <row r="577" customFormat="false" ht="15" hidden="false" customHeight="true" outlineLevel="0" collapsed="false">
      <c r="A577" s="11" t="s">
        <v>1289</v>
      </c>
      <c r="B577" s="11"/>
      <c r="C577" s="11" t="s">
        <v>403</v>
      </c>
      <c r="D577" s="11" t="s">
        <v>395</v>
      </c>
      <c r="E577" s="11" t="s">
        <v>396</v>
      </c>
      <c r="F577" s="11" t="s">
        <v>559</v>
      </c>
      <c r="G577" s="11" t="s">
        <v>129</v>
      </c>
      <c r="H577" s="11"/>
      <c r="I577" s="11"/>
      <c r="J577" s="11" t="s">
        <v>343</v>
      </c>
      <c r="O577" s="1" t="n">
        <f aca="false">'Behovsmodell (75p)'!$B$76</f>
        <v>111099</v>
      </c>
      <c r="P577" s="1" t="n">
        <f aca="false">('Behovsmodell (75p)'!$B$76)/12</f>
        <v>9258.25</v>
      </c>
    </row>
    <row r="578" customFormat="false" ht="15" hidden="false" customHeight="true" outlineLevel="0" collapsed="false">
      <c r="A578" s="11" t="s">
        <v>1290</v>
      </c>
      <c r="B578" s="11" t="s">
        <v>663</v>
      </c>
      <c r="C578" s="11" t="s">
        <v>414</v>
      </c>
      <c r="D578" s="11" t="s">
        <v>347</v>
      </c>
      <c r="E578" s="11" t="s">
        <v>356</v>
      </c>
      <c r="F578" s="11"/>
      <c r="G578" s="11" t="s">
        <v>31</v>
      </c>
      <c r="H578" s="11"/>
      <c r="I578" s="11"/>
      <c r="J578" s="11" t="s">
        <v>343</v>
      </c>
      <c r="O578" s="1" t="n">
        <f aca="false">'Behovsmodell (75p)'!$B$62</f>
        <v>85559</v>
      </c>
      <c r="P578" s="1" t="n">
        <f aca="false">('Behovsmodell (75p)'!$B$62)/12</f>
        <v>7129.91666666667</v>
      </c>
    </row>
    <row r="579" customFormat="false" ht="15" hidden="false" customHeight="true" outlineLevel="0" collapsed="false">
      <c r="A579" s="11" t="s">
        <v>1291</v>
      </c>
      <c r="B579" s="11" t="s">
        <v>692</v>
      </c>
      <c r="C579" s="11" t="s">
        <v>355</v>
      </c>
      <c r="D579" s="11" t="s">
        <v>347</v>
      </c>
      <c r="E579" s="11" t="s">
        <v>356</v>
      </c>
      <c r="F579" s="11" t="s">
        <v>358</v>
      </c>
      <c r="G579" s="11" t="s">
        <v>31</v>
      </c>
      <c r="H579" s="11"/>
      <c r="I579" s="11"/>
      <c r="J579" s="11" t="s">
        <v>343</v>
      </c>
      <c r="O579" s="1" t="n">
        <f aca="false">'Behovsmodell (75p)'!$B$62</f>
        <v>85559</v>
      </c>
      <c r="P579" s="1" t="n">
        <f aca="false">('Behovsmodell (75p)'!$B$62)/12</f>
        <v>7129.91666666667</v>
      </c>
    </row>
    <row r="580" customFormat="false" ht="15" hidden="false" customHeight="true" outlineLevel="0" collapsed="false">
      <c r="A580" s="11" t="s">
        <v>201</v>
      </c>
      <c r="B580" s="11"/>
      <c r="C580" s="11" t="s">
        <v>346</v>
      </c>
      <c r="D580" s="11"/>
      <c r="E580" s="11" t="s">
        <v>356</v>
      </c>
      <c r="F580" s="11" t="s">
        <v>353</v>
      </c>
      <c r="G580" s="11"/>
      <c r="H580" s="11"/>
      <c r="I580" s="11"/>
      <c r="J580" s="11" t="s">
        <v>343</v>
      </c>
    </row>
    <row r="581" customFormat="false" ht="15" hidden="false" customHeight="true" outlineLevel="0" collapsed="false">
      <c r="A581" s="11" t="s">
        <v>1292</v>
      </c>
      <c r="B581" s="11"/>
      <c r="C581" s="11" t="s">
        <v>339</v>
      </c>
      <c r="D581" s="11" t="s">
        <v>347</v>
      </c>
      <c r="E581" s="11" t="s">
        <v>356</v>
      </c>
      <c r="F581" s="11" t="s">
        <v>353</v>
      </c>
      <c r="G581" s="11" t="s">
        <v>31</v>
      </c>
      <c r="H581" s="11"/>
      <c r="I581" s="11"/>
      <c r="J581" s="11" t="s">
        <v>343</v>
      </c>
      <c r="O581" s="1" t="n">
        <f aca="false">'Behovsmodell (75p)'!$B$62</f>
        <v>85559</v>
      </c>
      <c r="P581" s="1" t="n">
        <f aca="false">('Behovsmodell (75p)'!$B$62)/12</f>
        <v>7129.91666666667</v>
      </c>
    </row>
    <row r="582" customFormat="false" ht="15" hidden="false" customHeight="true" outlineLevel="0" collapsed="false">
      <c r="A582" s="11" t="s">
        <v>1293</v>
      </c>
      <c r="B582" s="11"/>
      <c r="C582" s="11" t="s">
        <v>351</v>
      </c>
      <c r="D582" s="11"/>
      <c r="E582" s="11" t="s">
        <v>396</v>
      </c>
      <c r="F582" s="11" t="s">
        <v>358</v>
      </c>
      <c r="G582" s="11"/>
      <c r="H582" s="11"/>
      <c r="I582" s="11"/>
      <c r="J582" s="11" t="s">
        <v>343</v>
      </c>
    </row>
    <row r="583" customFormat="false" ht="15" hidden="false" customHeight="true" outlineLevel="0" collapsed="false">
      <c r="A583" s="11" t="s">
        <v>1294</v>
      </c>
      <c r="B583" s="11" t="s">
        <v>383</v>
      </c>
      <c r="C583" s="11" t="s">
        <v>339</v>
      </c>
      <c r="D583" s="11"/>
      <c r="E583" s="11" t="s">
        <v>356</v>
      </c>
      <c r="F583" s="11"/>
      <c r="G583" s="11"/>
      <c r="H583" s="11"/>
      <c r="I583" s="11"/>
      <c r="J583" s="11" t="s">
        <v>343</v>
      </c>
    </row>
    <row r="584" customFormat="false" ht="15" hidden="false" customHeight="true" outlineLevel="0" collapsed="false">
      <c r="A584" s="11" t="s">
        <v>1295</v>
      </c>
      <c r="B584" s="11" t="s">
        <v>1296</v>
      </c>
      <c r="C584" s="11" t="s">
        <v>381</v>
      </c>
      <c r="D584" s="11"/>
      <c r="E584" s="11" t="s">
        <v>356</v>
      </c>
      <c r="F584" s="11" t="s">
        <v>1297</v>
      </c>
      <c r="G584" s="11"/>
      <c r="H584" s="11"/>
      <c r="I584" s="11"/>
      <c r="J584" s="11" t="s">
        <v>343</v>
      </c>
      <c r="N584" s="1" t="s">
        <v>1298</v>
      </c>
    </row>
    <row r="585" customFormat="false" ht="15" hidden="false" customHeight="true" outlineLevel="0" collapsed="false">
      <c r="A585" s="11" t="s">
        <v>1299</v>
      </c>
      <c r="B585" s="11" t="s">
        <v>1300</v>
      </c>
      <c r="C585" s="11" t="s">
        <v>381</v>
      </c>
      <c r="D585" s="11" t="s">
        <v>347</v>
      </c>
      <c r="E585" s="11" t="s">
        <v>356</v>
      </c>
      <c r="F585" s="11" t="s">
        <v>702</v>
      </c>
      <c r="G585" s="11" t="s">
        <v>31</v>
      </c>
      <c r="H585" s="11"/>
      <c r="I585" s="11"/>
      <c r="J585" s="11" t="s">
        <v>343</v>
      </c>
      <c r="N585" s="1" t="s">
        <v>571</v>
      </c>
      <c r="O585" s="1" t="n">
        <f aca="false">'Behovsmodell (75p)'!$B$62</f>
        <v>85559</v>
      </c>
      <c r="P585" s="1" t="n">
        <f aca="false">('Behovsmodell (75p)'!$B$62)/12</f>
        <v>7129.91666666667</v>
      </c>
    </row>
    <row r="586" customFormat="false" ht="15" hidden="false" customHeight="true" outlineLevel="0" collapsed="false">
      <c r="A586" s="11" t="s">
        <v>1301</v>
      </c>
      <c r="B586" s="11"/>
      <c r="C586" s="11" t="s">
        <v>355</v>
      </c>
      <c r="D586" s="11" t="s">
        <v>347</v>
      </c>
      <c r="E586" s="11" t="s">
        <v>356</v>
      </c>
      <c r="F586" s="11" t="s">
        <v>430</v>
      </c>
      <c r="G586" s="11" t="s">
        <v>31</v>
      </c>
      <c r="H586" s="11"/>
      <c r="I586" s="11"/>
      <c r="J586" s="11" t="s">
        <v>343</v>
      </c>
      <c r="K586" s="1" t="s">
        <v>1302</v>
      </c>
      <c r="L586" s="1" t="s">
        <v>1303</v>
      </c>
      <c r="N586" s="1" t="s">
        <v>1304</v>
      </c>
      <c r="O586" s="1" t="n">
        <f aca="false">'Behovsmodell (75p)'!$B$62</f>
        <v>85559</v>
      </c>
      <c r="P586" s="1" t="n">
        <f aca="false">('Behovsmodell (75p)'!$B$62)/12</f>
        <v>7129.91666666667</v>
      </c>
    </row>
    <row r="587" customFormat="false" ht="15" hidden="false" customHeight="true" outlineLevel="0" collapsed="false">
      <c r="A587" s="11" t="s">
        <v>1305</v>
      </c>
      <c r="B587" s="11"/>
      <c r="C587" s="11" t="s">
        <v>355</v>
      </c>
      <c r="D587" s="11"/>
      <c r="E587" s="11" t="s">
        <v>356</v>
      </c>
      <c r="F587" s="11"/>
      <c r="G587" s="11"/>
      <c r="H587" s="11"/>
      <c r="I587" s="11"/>
      <c r="J587" s="11" t="s">
        <v>343</v>
      </c>
    </row>
    <row r="588" customFormat="false" ht="15" hidden="false" customHeight="true" outlineLevel="0" collapsed="false">
      <c r="A588" s="11" t="s">
        <v>1306</v>
      </c>
      <c r="B588" s="11" t="s">
        <v>695</v>
      </c>
      <c r="C588" s="11" t="s">
        <v>351</v>
      </c>
      <c r="D588" s="11"/>
      <c r="E588" s="11" t="s">
        <v>356</v>
      </c>
      <c r="F588" s="11" t="s">
        <v>358</v>
      </c>
      <c r="G588" s="11"/>
      <c r="H588" s="11"/>
      <c r="I588" s="11"/>
      <c r="J588" s="11" t="s">
        <v>343</v>
      </c>
      <c r="K588" s="1" t="s">
        <v>1307</v>
      </c>
      <c r="M588" s="1" t="s">
        <v>1308</v>
      </c>
      <c r="N588" s="1" t="s">
        <v>1309</v>
      </c>
    </row>
    <row r="589" customFormat="false" ht="15" hidden="false" customHeight="true" outlineLevel="0" collapsed="false">
      <c r="A589" s="11" t="s">
        <v>1310</v>
      </c>
      <c r="B589" s="11" t="s">
        <v>1311</v>
      </c>
      <c r="C589" s="11" t="s">
        <v>355</v>
      </c>
      <c r="D589" s="11" t="s">
        <v>340</v>
      </c>
      <c r="E589" s="11" t="s">
        <v>341</v>
      </c>
      <c r="F589" s="11" t="s">
        <v>1312</v>
      </c>
      <c r="G589" s="11"/>
      <c r="H589" s="11" t="s">
        <v>340</v>
      </c>
      <c r="I589" s="11"/>
      <c r="J589" s="11" t="s">
        <v>343</v>
      </c>
    </row>
    <row r="590" customFormat="false" ht="15" hidden="false" customHeight="true" outlineLevel="0" collapsed="false">
      <c r="A590" s="11" t="s">
        <v>1313</v>
      </c>
      <c r="B590" s="11" t="s">
        <v>666</v>
      </c>
      <c r="C590" s="11" t="s">
        <v>414</v>
      </c>
      <c r="D590" s="11" t="s">
        <v>340</v>
      </c>
      <c r="E590" s="11"/>
      <c r="F590" s="11"/>
      <c r="G590" s="11"/>
      <c r="H590" s="11" t="s">
        <v>340</v>
      </c>
      <c r="I590" s="11"/>
      <c r="J590" s="11" t="s">
        <v>343</v>
      </c>
    </row>
    <row r="591" customFormat="false" ht="15" hidden="false" customHeight="true" outlineLevel="0" collapsed="false">
      <c r="A591" s="11" t="s">
        <v>1314</v>
      </c>
      <c r="B591" s="11"/>
      <c r="C591" s="11" t="s">
        <v>339</v>
      </c>
      <c r="D591" s="11" t="s">
        <v>347</v>
      </c>
      <c r="E591" s="11"/>
      <c r="F591" s="11" t="s">
        <v>656</v>
      </c>
      <c r="G591" s="11" t="s">
        <v>31</v>
      </c>
      <c r="H591" s="11"/>
      <c r="I591" s="11"/>
      <c r="J591" s="11" t="s">
        <v>343</v>
      </c>
      <c r="O591" s="1" t="n">
        <f aca="false">'Behovsmodell (75p)'!$B$62</f>
        <v>85559</v>
      </c>
      <c r="P591" s="1" t="n">
        <f aca="false">('Behovsmodell (75p)'!$B$62)/12</f>
        <v>7129.91666666667</v>
      </c>
    </row>
    <row r="592" customFormat="false" ht="15" hidden="false" customHeight="true" outlineLevel="0" collapsed="false">
      <c r="A592" s="11" t="s">
        <v>1315</v>
      </c>
      <c r="B592" s="11" t="s">
        <v>1316</v>
      </c>
      <c r="C592" s="11" t="s">
        <v>536</v>
      </c>
      <c r="D592" s="11" t="s">
        <v>340</v>
      </c>
      <c r="E592" s="11" t="s">
        <v>341</v>
      </c>
      <c r="F592" s="11"/>
      <c r="G592" s="11"/>
      <c r="H592" s="11" t="s">
        <v>340</v>
      </c>
      <c r="I592" s="11"/>
      <c r="J592" s="11" t="s">
        <v>343</v>
      </c>
    </row>
    <row r="593" customFormat="false" ht="15" hidden="false" customHeight="true" outlineLevel="0" collapsed="false">
      <c r="A593" s="11" t="s">
        <v>1317</v>
      </c>
      <c r="B593" s="11"/>
      <c r="C593" s="11" t="s">
        <v>339</v>
      </c>
      <c r="D593" s="11" t="s">
        <v>347</v>
      </c>
      <c r="E593" s="11"/>
      <c r="F593" s="11"/>
      <c r="G593" s="11" t="s">
        <v>31</v>
      </c>
      <c r="H593" s="11"/>
      <c r="I593" s="11"/>
      <c r="J593" s="11" t="s">
        <v>343</v>
      </c>
      <c r="O593" s="1" t="n">
        <f aca="false">'Behovsmodell (75p)'!$B$62</f>
        <v>85559</v>
      </c>
      <c r="P593" s="1" t="n">
        <f aca="false">('Behovsmodell (75p)'!$B$62)/12</f>
        <v>7129.91666666667</v>
      </c>
    </row>
    <row r="594" customFormat="false" ht="15" hidden="false" customHeight="true" outlineLevel="0" collapsed="false">
      <c r="A594" s="11" t="s">
        <v>1318</v>
      </c>
      <c r="B594" s="11"/>
      <c r="C594" s="11" t="s">
        <v>339</v>
      </c>
      <c r="D594" s="11" t="s">
        <v>375</v>
      </c>
      <c r="E594" s="11" t="s">
        <v>356</v>
      </c>
      <c r="F594" s="11" t="s">
        <v>626</v>
      </c>
      <c r="G594" s="11" t="s">
        <v>68</v>
      </c>
      <c r="H594" s="11"/>
      <c r="I594" s="11"/>
      <c r="J594" s="11" t="s">
        <v>343</v>
      </c>
      <c r="K594" s="1" t="s">
        <v>1319</v>
      </c>
      <c r="L594" s="1" t="s">
        <v>1320</v>
      </c>
      <c r="N594" s="1" t="s">
        <v>1321</v>
      </c>
      <c r="O594" s="1" t="n">
        <f aca="false">'Behovsmodell (75p)'!$B$66</f>
        <v>206427.05</v>
      </c>
      <c r="P594" s="1" t="n">
        <f aca="false">('Behovsmodell (75p)'!$B$66)/12</f>
        <v>17202.2541666667</v>
      </c>
    </row>
    <row r="595" customFormat="false" ht="15" hidden="false" customHeight="true" outlineLevel="0" collapsed="false">
      <c r="A595" s="11" t="s">
        <v>1322</v>
      </c>
      <c r="B595" s="11"/>
      <c r="C595" s="11" t="s">
        <v>355</v>
      </c>
      <c r="D595" s="11"/>
      <c r="E595" s="11" t="s">
        <v>396</v>
      </c>
      <c r="F595" s="11" t="s">
        <v>358</v>
      </c>
      <c r="G595" s="11"/>
      <c r="H595" s="11"/>
      <c r="I595" s="11"/>
      <c r="J595" s="11" t="s">
        <v>343</v>
      </c>
    </row>
    <row r="596" customFormat="false" ht="15" hidden="false" customHeight="true" outlineLevel="0" collapsed="false">
      <c r="A596" s="11" t="s">
        <v>1323</v>
      </c>
      <c r="B596" s="11" t="s">
        <v>522</v>
      </c>
      <c r="C596" s="11" t="s">
        <v>351</v>
      </c>
      <c r="D596" s="11" t="s">
        <v>395</v>
      </c>
      <c r="E596" s="11" t="s">
        <v>396</v>
      </c>
      <c r="F596" s="11" t="s">
        <v>1324</v>
      </c>
      <c r="G596" s="11" t="s">
        <v>129</v>
      </c>
      <c r="H596" s="11"/>
      <c r="I596" s="11"/>
      <c r="J596" s="11" t="s">
        <v>343</v>
      </c>
      <c r="O596" s="1" t="n">
        <f aca="false">'Behovsmodell (75p)'!$B$76</f>
        <v>111099</v>
      </c>
      <c r="P596" s="1" t="n">
        <f aca="false">('Behovsmodell (75p)'!$B$76)/12</f>
        <v>9258.25</v>
      </c>
    </row>
    <row r="597" customFormat="false" ht="15" hidden="false" customHeight="true" outlineLevel="0" collapsed="false">
      <c r="A597" s="11" t="s">
        <v>1325</v>
      </c>
      <c r="B597" s="11" t="s">
        <v>380</v>
      </c>
      <c r="C597" s="11" t="s">
        <v>381</v>
      </c>
      <c r="D597" s="11" t="s">
        <v>375</v>
      </c>
      <c r="E597" s="11" t="s">
        <v>356</v>
      </c>
      <c r="F597" s="11"/>
      <c r="G597" s="11" t="s">
        <v>68</v>
      </c>
      <c r="H597" s="11"/>
      <c r="I597" s="11"/>
      <c r="J597" s="11" t="s">
        <v>343</v>
      </c>
      <c r="O597" s="1" t="n">
        <f aca="false">'Behovsmodell (75p)'!$B$66</f>
        <v>206427.05</v>
      </c>
      <c r="P597" s="1" t="n">
        <f aca="false">('Behovsmodell (75p)'!$B$66)/12</f>
        <v>17202.2541666667</v>
      </c>
    </row>
    <row r="598" customFormat="false" ht="15" hidden="false" customHeight="true" outlineLevel="0" collapsed="false">
      <c r="A598" s="11" t="s">
        <v>1326</v>
      </c>
      <c r="B598" s="11" t="s">
        <v>1079</v>
      </c>
      <c r="C598" s="11" t="s">
        <v>536</v>
      </c>
      <c r="D598" s="11" t="s">
        <v>347</v>
      </c>
      <c r="E598" s="11" t="s">
        <v>356</v>
      </c>
      <c r="F598" s="11" t="s">
        <v>358</v>
      </c>
      <c r="G598" s="11" t="s">
        <v>31</v>
      </c>
      <c r="H598" s="11"/>
      <c r="I598" s="11"/>
      <c r="J598" s="11" t="s">
        <v>343</v>
      </c>
      <c r="O598" s="1" t="n">
        <f aca="false">'Behovsmodell (75p)'!$B$62</f>
        <v>85559</v>
      </c>
      <c r="P598" s="1" t="n">
        <f aca="false">('Behovsmodell (75p)'!$B$62)/12</f>
        <v>7129.91666666667</v>
      </c>
    </row>
    <row r="599" customFormat="false" ht="15" hidden="false" customHeight="true" outlineLevel="0" collapsed="false">
      <c r="A599" s="11" t="s">
        <v>1327</v>
      </c>
      <c r="B599" s="11" t="s">
        <v>828</v>
      </c>
      <c r="C599" s="11" t="s">
        <v>339</v>
      </c>
      <c r="D599" s="11" t="s">
        <v>395</v>
      </c>
      <c r="E599" s="11" t="s">
        <v>396</v>
      </c>
      <c r="F599" s="11" t="s">
        <v>1206</v>
      </c>
      <c r="G599" s="11" t="s">
        <v>129</v>
      </c>
      <c r="H599" s="11"/>
      <c r="I599" s="11"/>
      <c r="J599" s="11" t="s">
        <v>343</v>
      </c>
      <c r="O599" s="1" t="n">
        <f aca="false">'Behovsmodell (75p)'!$B$76</f>
        <v>111099</v>
      </c>
      <c r="P599" s="1" t="n">
        <f aca="false">('Behovsmodell (75p)'!$B$76)/12</f>
        <v>9258.25</v>
      </c>
    </row>
    <row r="600" customFormat="false" ht="15" hidden="false" customHeight="true" outlineLevel="0" collapsed="false">
      <c r="A600" s="11" t="s">
        <v>1328</v>
      </c>
      <c r="B600" s="11" t="s">
        <v>1268</v>
      </c>
      <c r="C600" s="11" t="s">
        <v>536</v>
      </c>
      <c r="D600" s="11"/>
      <c r="E600" s="11" t="s">
        <v>356</v>
      </c>
      <c r="F600" s="11" t="s">
        <v>358</v>
      </c>
      <c r="G600" s="11"/>
      <c r="H600" s="11"/>
      <c r="I600" s="11"/>
      <c r="J600" s="11" t="s">
        <v>343</v>
      </c>
    </row>
    <row r="601" customFormat="false" ht="15" hidden="false" customHeight="true" outlineLevel="0" collapsed="false">
      <c r="A601" s="11" t="s">
        <v>1329</v>
      </c>
      <c r="B601" s="11" t="s">
        <v>1330</v>
      </c>
      <c r="C601" s="11" t="s">
        <v>355</v>
      </c>
      <c r="D601" s="11" t="s">
        <v>366</v>
      </c>
      <c r="E601" s="11" t="s">
        <v>341</v>
      </c>
      <c r="F601" s="11" t="s">
        <v>937</v>
      </c>
      <c r="G601" s="11"/>
      <c r="H601" s="11" t="s">
        <v>366</v>
      </c>
      <c r="I601" s="11"/>
      <c r="J601" s="11" t="s">
        <v>343</v>
      </c>
    </row>
    <row r="602" customFormat="false" ht="15" hidden="false" customHeight="true" outlineLevel="0" collapsed="false">
      <c r="A602" s="11" t="s">
        <v>1331</v>
      </c>
      <c r="B602" s="11" t="s">
        <v>437</v>
      </c>
      <c r="C602" s="11" t="s">
        <v>361</v>
      </c>
      <c r="D602" s="11" t="s">
        <v>352</v>
      </c>
      <c r="E602" s="11"/>
      <c r="F602" s="11" t="s">
        <v>353</v>
      </c>
      <c r="G602" s="11" t="s">
        <v>84</v>
      </c>
      <c r="H602" s="11"/>
      <c r="I602" s="11"/>
      <c r="J602" s="11" t="s">
        <v>343</v>
      </c>
      <c r="O602" s="1" t="n">
        <f aca="false">'Behovsmodell (75p)'!$B$68</f>
        <v>330040.65</v>
      </c>
      <c r="P602" s="1" t="n">
        <f aca="false">('Behovsmodell (75p)'!$B$68)/12</f>
        <v>27503.3875</v>
      </c>
    </row>
    <row r="603" customFormat="false" ht="15" hidden="false" customHeight="true" outlineLevel="0" collapsed="false">
      <c r="A603" s="11" t="s">
        <v>1332</v>
      </c>
      <c r="B603" s="11" t="s">
        <v>666</v>
      </c>
      <c r="C603" s="11" t="s">
        <v>414</v>
      </c>
      <c r="D603" s="11" t="s">
        <v>340</v>
      </c>
      <c r="E603" s="11" t="s">
        <v>341</v>
      </c>
      <c r="F603" s="11" t="s">
        <v>1333</v>
      </c>
      <c r="G603" s="11"/>
      <c r="H603" s="11" t="s">
        <v>340</v>
      </c>
      <c r="I603" s="11"/>
      <c r="J603" s="11" t="s">
        <v>343</v>
      </c>
    </row>
    <row r="604" customFormat="false" ht="15" hidden="false" customHeight="true" outlineLevel="0" collapsed="false">
      <c r="A604" s="11" t="s">
        <v>1334</v>
      </c>
      <c r="B604" s="11" t="s">
        <v>944</v>
      </c>
      <c r="C604" s="11" t="s">
        <v>339</v>
      </c>
      <c r="D604" s="11" t="s">
        <v>340</v>
      </c>
      <c r="E604" s="11" t="s">
        <v>341</v>
      </c>
      <c r="F604" s="11" t="s">
        <v>478</v>
      </c>
      <c r="G604" s="11"/>
      <c r="H604" s="11" t="s">
        <v>340</v>
      </c>
      <c r="I604" s="11"/>
      <c r="J604" s="11" t="s">
        <v>343</v>
      </c>
    </row>
    <row r="605" customFormat="false" ht="15" hidden="false" customHeight="true" outlineLevel="0" collapsed="false">
      <c r="A605" s="11" t="s">
        <v>1335</v>
      </c>
      <c r="B605" s="11"/>
      <c r="C605" s="11" t="s">
        <v>355</v>
      </c>
      <c r="D605" s="11" t="s">
        <v>347</v>
      </c>
      <c r="E605" s="11" t="s">
        <v>356</v>
      </c>
      <c r="F605" s="11" t="s">
        <v>358</v>
      </c>
      <c r="G605" s="11" t="s">
        <v>31</v>
      </c>
      <c r="H605" s="11"/>
      <c r="I605" s="11"/>
      <c r="J605" s="11" t="s">
        <v>343</v>
      </c>
      <c r="O605" s="1" t="n">
        <f aca="false">'Behovsmodell (75p)'!$B$62</f>
        <v>85559</v>
      </c>
      <c r="P605" s="1" t="n">
        <f aca="false">('Behovsmodell (75p)'!$B$62)/12</f>
        <v>7129.91666666667</v>
      </c>
    </row>
    <row r="606" customFormat="false" ht="15" hidden="false" customHeight="true" outlineLevel="0" collapsed="false">
      <c r="A606" s="11" t="s">
        <v>1336</v>
      </c>
      <c r="B606" s="11"/>
      <c r="C606" s="11" t="s">
        <v>339</v>
      </c>
      <c r="D606" s="11"/>
      <c r="E606" s="11" t="s">
        <v>396</v>
      </c>
      <c r="F606" s="11" t="s">
        <v>593</v>
      </c>
      <c r="G606" s="11"/>
      <c r="H606" s="11"/>
      <c r="I606" s="11"/>
      <c r="J606" s="11" t="s">
        <v>343</v>
      </c>
    </row>
    <row r="607" customFormat="false" ht="15" hidden="false" customHeight="true" outlineLevel="0" collapsed="false">
      <c r="A607" s="11" t="s">
        <v>1337</v>
      </c>
      <c r="B607" s="11"/>
      <c r="C607" s="11" t="s">
        <v>361</v>
      </c>
      <c r="D607" s="11" t="s">
        <v>347</v>
      </c>
      <c r="E607" s="11" t="s">
        <v>356</v>
      </c>
      <c r="F607" s="11" t="s">
        <v>353</v>
      </c>
      <c r="G607" s="11" t="s">
        <v>31</v>
      </c>
      <c r="H607" s="11"/>
      <c r="I607" s="11"/>
      <c r="J607" s="11" t="s">
        <v>343</v>
      </c>
      <c r="O607" s="1" t="n">
        <f aca="false">'Behovsmodell (75p)'!$B$62</f>
        <v>85559</v>
      </c>
      <c r="P607" s="1" t="n">
        <f aca="false">('Behovsmodell (75p)'!$B$62)/12</f>
        <v>7129.91666666667</v>
      </c>
    </row>
    <row r="608" customFormat="false" ht="15" hidden="false" customHeight="true" outlineLevel="0" collapsed="false">
      <c r="A608" s="11" t="s">
        <v>1338</v>
      </c>
      <c r="B608" s="11" t="s">
        <v>536</v>
      </c>
      <c r="C608" s="11" t="s">
        <v>536</v>
      </c>
      <c r="D608" s="11" t="s">
        <v>340</v>
      </c>
      <c r="E608" s="11" t="s">
        <v>341</v>
      </c>
      <c r="F608" s="11" t="s">
        <v>1339</v>
      </c>
      <c r="G608" s="11"/>
      <c r="H608" s="11" t="s">
        <v>340</v>
      </c>
      <c r="I608" s="11"/>
      <c r="J608" s="11" t="s">
        <v>343</v>
      </c>
    </row>
    <row r="609" customFormat="false" ht="15" hidden="false" customHeight="true" outlineLevel="0" collapsed="false">
      <c r="A609" s="11" t="s">
        <v>1340</v>
      </c>
      <c r="B609" s="11" t="s">
        <v>380</v>
      </c>
      <c r="C609" s="11" t="s">
        <v>381</v>
      </c>
      <c r="D609" s="11"/>
      <c r="E609" s="11" t="s">
        <v>396</v>
      </c>
      <c r="F609" s="11"/>
      <c r="G609" s="11"/>
      <c r="H609" s="11"/>
      <c r="I609" s="11"/>
      <c r="J609" s="11" t="s">
        <v>343</v>
      </c>
    </row>
    <row r="610" customFormat="false" ht="15" hidden="false" customHeight="true" outlineLevel="0" collapsed="false">
      <c r="A610" s="11" t="s">
        <v>1341</v>
      </c>
      <c r="B610" s="11" t="s">
        <v>449</v>
      </c>
      <c r="C610" s="11" t="s">
        <v>245</v>
      </c>
      <c r="D610" s="11"/>
      <c r="E610" s="11" t="s">
        <v>356</v>
      </c>
      <c r="F610" s="11" t="s">
        <v>472</v>
      </c>
      <c r="G610" s="11"/>
      <c r="H610" s="11"/>
      <c r="I610" s="11"/>
      <c r="J610" s="11" t="s">
        <v>343</v>
      </c>
    </row>
    <row r="611" customFormat="false" ht="15" hidden="false" customHeight="true" outlineLevel="0" collapsed="false">
      <c r="A611" s="11" t="s">
        <v>1342</v>
      </c>
      <c r="B611" s="11" t="s">
        <v>597</v>
      </c>
      <c r="C611" s="11" t="s">
        <v>597</v>
      </c>
      <c r="D611" s="11" t="s">
        <v>347</v>
      </c>
      <c r="E611" s="11" t="s">
        <v>356</v>
      </c>
      <c r="F611" s="11"/>
      <c r="G611" s="11" t="s">
        <v>31</v>
      </c>
      <c r="H611" s="11"/>
      <c r="I611" s="11"/>
      <c r="J611" s="11" t="s">
        <v>343</v>
      </c>
      <c r="O611" s="1" t="n">
        <f aca="false">'Behovsmodell (75p)'!$B$62</f>
        <v>85559</v>
      </c>
      <c r="P611" s="1" t="n">
        <f aca="false">('Behovsmodell (75p)'!$B$62)/12</f>
        <v>7129.91666666667</v>
      </c>
    </row>
    <row r="612" customFormat="false" ht="15" hidden="false" customHeight="true" outlineLevel="0" collapsed="false">
      <c r="A612" s="11" t="s">
        <v>1343</v>
      </c>
      <c r="B612" s="11" t="s">
        <v>528</v>
      </c>
      <c r="C612" s="11" t="s">
        <v>355</v>
      </c>
      <c r="D612" s="11" t="s">
        <v>347</v>
      </c>
      <c r="E612" s="11" t="s">
        <v>356</v>
      </c>
      <c r="F612" s="11"/>
      <c r="G612" s="11" t="s">
        <v>31</v>
      </c>
      <c r="H612" s="11"/>
      <c r="I612" s="11"/>
      <c r="J612" s="11" t="s">
        <v>343</v>
      </c>
      <c r="O612" s="1" t="n">
        <f aca="false">'Behovsmodell (75p)'!$B$62</f>
        <v>85559</v>
      </c>
      <c r="P612" s="1" t="n">
        <f aca="false">('Behovsmodell (75p)'!$B$62)/12</f>
        <v>7129.91666666667</v>
      </c>
    </row>
    <row r="613" customFormat="false" ht="15" hidden="false" customHeight="true" outlineLevel="0" collapsed="false">
      <c r="A613" s="11" t="s">
        <v>1344</v>
      </c>
      <c r="B613" s="11"/>
      <c r="C613" s="11" t="s">
        <v>351</v>
      </c>
      <c r="D613" s="11" t="s">
        <v>340</v>
      </c>
      <c r="E613" s="11" t="s">
        <v>341</v>
      </c>
      <c r="F613" s="11"/>
      <c r="G613" s="11"/>
      <c r="H613" s="11" t="s">
        <v>340</v>
      </c>
      <c r="I613" s="11"/>
      <c r="J613" s="11" t="s">
        <v>343</v>
      </c>
    </row>
    <row r="614" customFormat="false" ht="15" hidden="false" customHeight="true" outlineLevel="0" collapsed="false">
      <c r="A614" s="11" t="s">
        <v>1345</v>
      </c>
      <c r="B614" s="11"/>
      <c r="C614" s="11" t="s">
        <v>403</v>
      </c>
      <c r="D614" s="11"/>
      <c r="E614" s="11"/>
      <c r="F614" s="11" t="s">
        <v>915</v>
      </c>
      <c r="G614" s="11"/>
      <c r="H614" s="11"/>
      <c r="I614" s="11"/>
      <c r="J614" s="11" t="s">
        <v>343</v>
      </c>
      <c r="K614" s="1" t="s">
        <v>1346</v>
      </c>
      <c r="L614" s="1" t="s">
        <v>1347</v>
      </c>
      <c r="M614" s="1" t="s">
        <v>1348</v>
      </c>
      <c r="N614" s="1" t="s">
        <v>1349</v>
      </c>
    </row>
    <row r="615" customFormat="false" ht="15" hidden="false" customHeight="true" outlineLevel="0" collapsed="false">
      <c r="A615" s="11" t="s">
        <v>1350</v>
      </c>
      <c r="B615" s="11" t="s">
        <v>338</v>
      </c>
      <c r="C615" s="11" t="s">
        <v>339</v>
      </c>
      <c r="D615" s="11" t="s">
        <v>340</v>
      </c>
      <c r="E615" s="11" t="s">
        <v>341</v>
      </c>
      <c r="F615" s="11" t="s">
        <v>1351</v>
      </c>
      <c r="G615" s="11"/>
      <c r="H615" s="11" t="s">
        <v>340</v>
      </c>
      <c r="I615" s="11"/>
      <c r="J615" s="11" t="s">
        <v>343</v>
      </c>
    </row>
    <row r="616" customFormat="false" ht="15" hidden="false" customHeight="true" outlineLevel="0" collapsed="false">
      <c r="A616" s="11" t="s">
        <v>1352</v>
      </c>
      <c r="B616" s="11"/>
      <c r="C616" s="11" t="s">
        <v>339</v>
      </c>
      <c r="D616" s="11" t="s">
        <v>340</v>
      </c>
      <c r="E616" s="11" t="s">
        <v>341</v>
      </c>
      <c r="F616" s="11"/>
      <c r="G616" s="11"/>
      <c r="H616" s="11" t="s">
        <v>340</v>
      </c>
      <c r="I616" s="11"/>
      <c r="J616" s="11" t="s">
        <v>343</v>
      </c>
    </row>
    <row r="617" customFormat="false" ht="15" hidden="false" customHeight="true" outlineLevel="0" collapsed="false">
      <c r="A617" s="11" t="s">
        <v>1353</v>
      </c>
      <c r="B617" s="11"/>
      <c r="C617" s="11" t="s">
        <v>339</v>
      </c>
      <c r="D617" s="11" t="s">
        <v>340</v>
      </c>
      <c r="E617" s="11" t="s">
        <v>341</v>
      </c>
      <c r="F617" s="11" t="s">
        <v>1354</v>
      </c>
      <c r="G617" s="11"/>
      <c r="H617" s="11" t="s">
        <v>340</v>
      </c>
      <c r="I617" s="11"/>
      <c r="J617" s="11" t="s">
        <v>343</v>
      </c>
    </row>
    <row r="618" customFormat="false" ht="15" hidden="false" customHeight="true" outlineLevel="0" collapsed="false">
      <c r="A618" s="11" t="s">
        <v>1355</v>
      </c>
      <c r="B618" s="11" t="s">
        <v>597</v>
      </c>
      <c r="C618" s="11" t="s">
        <v>597</v>
      </c>
      <c r="D618" s="11"/>
      <c r="E618" s="11" t="s">
        <v>356</v>
      </c>
      <c r="F618" s="11" t="s">
        <v>831</v>
      </c>
      <c r="G618" s="11"/>
      <c r="H618" s="11"/>
      <c r="I618" s="11"/>
      <c r="J618" s="11" t="s">
        <v>343</v>
      </c>
    </row>
    <row r="619" customFormat="false" ht="15" hidden="false" customHeight="true" outlineLevel="0" collapsed="false">
      <c r="A619" s="11" t="s">
        <v>1356</v>
      </c>
      <c r="B619" s="11"/>
      <c r="C619" s="11" t="s">
        <v>245</v>
      </c>
      <c r="D619" s="11"/>
      <c r="E619" s="11" t="s">
        <v>356</v>
      </c>
      <c r="F619" s="11" t="s">
        <v>358</v>
      </c>
      <c r="G619" s="11"/>
      <c r="H619" s="11"/>
      <c r="I619" s="11"/>
      <c r="J619" s="11" t="s">
        <v>343</v>
      </c>
    </row>
    <row r="620" customFormat="false" ht="15" hidden="false" customHeight="true" outlineLevel="0" collapsed="false">
      <c r="A620" s="11" t="s">
        <v>1357</v>
      </c>
      <c r="B620" s="11" t="s">
        <v>1121</v>
      </c>
      <c r="C620" s="11" t="s">
        <v>339</v>
      </c>
      <c r="D620" s="11"/>
      <c r="E620" s="11" t="s">
        <v>396</v>
      </c>
      <c r="F620" s="11"/>
      <c r="G620" s="11"/>
      <c r="H620" s="11"/>
      <c r="I620" s="11"/>
      <c r="J620" s="11" t="s">
        <v>343</v>
      </c>
    </row>
    <row r="621" customFormat="false" ht="15" hidden="false" customHeight="true" outlineLevel="0" collapsed="false">
      <c r="A621" s="11" t="s">
        <v>1358</v>
      </c>
      <c r="B621" s="11"/>
      <c r="C621" s="11" t="s">
        <v>351</v>
      </c>
      <c r="D621" s="11" t="s">
        <v>347</v>
      </c>
      <c r="E621" s="11" t="s">
        <v>356</v>
      </c>
      <c r="F621" s="11" t="s">
        <v>1359</v>
      </c>
      <c r="G621" s="11" t="s">
        <v>31</v>
      </c>
      <c r="H621" s="11"/>
      <c r="I621" s="11"/>
      <c r="J621" s="11" t="s">
        <v>343</v>
      </c>
      <c r="K621" s="1" t="s">
        <v>1360</v>
      </c>
      <c r="L621" s="1" t="s">
        <v>1361</v>
      </c>
      <c r="M621" s="1" t="s">
        <v>1362</v>
      </c>
      <c r="N621" s="1" t="s">
        <v>1363</v>
      </c>
      <c r="O621" s="1" t="n">
        <f aca="false">'Behovsmodell (75p)'!$B$62</f>
        <v>85559</v>
      </c>
      <c r="P621" s="1" t="n">
        <f aca="false">('Behovsmodell (75p)'!$B$62)/12</f>
        <v>7129.91666666667</v>
      </c>
    </row>
    <row r="622" customFormat="false" ht="15" hidden="false" customHeight="true" outlineLevel="0" collapsed="false">
      <c r="A622" s="11" t="s">
        <v>1364</v>
      </c>
      <c r="B622" s="11"/>
      <c r="C622" s="11" t="s">
        <v>339</v>
      </c>
      <c r="D622" s="11" t="s">
        <v>347</v>
      </c>
      <c r="E622" s="11" t="s">
        <v>356</v>
      </c>
      <c r="F622" s="11"/>
      <c r="G622" s="11" t="s">
        <v>31</v>
      </c>
      <c r="H622" s="11"/>
      <c r="I622" s="11"/>
      <c r="J622" s="11" t="s">
        <v>343</v>
      </c>
      <c r="O622" s="1" t="n">
        <f aca="false">'Behovsmodell (75p)'!$B$62</f>
        <v>85559</v>
      </c>
      <c r="P622" s="1" t="n">
        <f aca="false">('Behovsmodell (75p)'!$B$62)/12</f>
        <v>7129.91666666667</v>
      </c>
    </row>
    <row r="623" customFormat="false" ht="15" hidden="false" customHeight="true" outlineLevel="0" collapsed="false">
      <c r="A623" s="11" t="s">
        <v>1364</v>
      </c>
      <c r="B623" s="11" t="s">
        <v>1365</v>
      </c>
      <c r="C623" s="11" t="s">
        <v>361</v>
      </c>
      <c r="D623" s="11" t="s">
        <v>347</v>
      </c>
      <c r="E623" s="11" t="s">
        <v>356</v>
      </c>
      <c r="F623" s="11"/>
      <c r="G623" s="11" t="s">
        <v>31</v>
      </c>
      <c r="H623" s="11"/>
      <c r="I623" s="11"/>
      <c r="J623" s="11" t="s">
        <v>343</v>
      </c>
      <c r="O623" s="1" t="n">
        <f aca="false">'Behovsmodell (75p)'!$B$62</f>
        <v>85559</v>
      </c>
      <c r="P623" s="1" t="n">
        <f aca="false">('Behovsmodell (75p)'!$B$62)/12</f>
        <v>7129.91666666667</v>
      </c>
    </row>
    <row r="624" customFormat="false" ht="15" hidden="false" customHeight="true" outlineLevel="0" collapsed="false">
      <c r="A624" s="11" t="s">
        <v>1366</v>
      </c>
      <c r="B624" s="11" t="s">
        <v>536</v>
      </c>
      <c r="C624" s="11" t="s">
        <v>536</v>
      </c>
      <c r="D624" s="11"/>
      <c r="E624" s="11" t="s">
        <v>356</v>
      </c>
      <c r="F624" s="11"/>
      <c r="G624" s="11"/>
      <c r="H624" s="11"/>
      <c r="I624" s="11"/>
      <c r="J624" s="11" t="s">
        <v>343</v>
      </c>
    </row>
    <row r="625" customFormat="false" ht="15" hidden="false" customHeight="true" outlineLevel="0" collapsed="false">
      <c r="A625" s="11" t="s">
        <v>1367</v>
      </c>
      <c r="B625" s="11"/>
      <c r="C625" s="11" t="s">
        <v>351</v>
      </c>
      <c r="D625" s="11" t="s">
        <v>352</v>
      </c>
      <c r="E625" s="11" t="s">
        <v>356</v>
      </c>
      <c r="F625" s="11" t="s">
        <v>358</v>
      </c>
      <c r="G625" s="11" t="s">
        <v>84</v>
      </c>
      <c r="H625" s="11"/>
      <c r="I625" s="11"/>
      <c r="J625" s="11" t="s">
        <v>343</v>
      </c>
      <c r="K625" s="1" t="s">
        <v>1368</v>
      </c>
      <c r="L625" s="1" t="s">
        <v>1369</v>
      </c>
      <c r="M625" s="1" t="s">
        <v>1370</v>
      </c>
      <c r="N625" s="1" t="s">
        <v>1371</v>
      </c>
      <c r="O625" s="1" t="n">
        <f aca="false">'Behovsmodell (75p)'!$B$68</f>
        <v>330040.65</v>
      </c>
      <c r="P625" s="1" t="n">
        <f aca="false">('Behovsmodell (75p)'!$B$68)/12</f>
        <v>27503.3875</v>
      </c>
    </row>
    <row r="626" customFormat="false" ht="15" hidden="false" customHeight="true" outlineLevel="0" collapsed="false">
      <c r="A626" s="11" t="s">
        <v>1367</v>
      </c>
      <c r="B626" s="11"/>
      <c r="C626" s="11" t="s">
        <v>339</v>
      </c>
      <c r="D626" s="11" t="s">
        <v>352</v>
      </c>
      <c r="E626" s="11"/>
      <c r="F626" s="11" t="s">
        <v>358</v>
      </c>
      <c r="G626" s="11" t="s">
        <v>84</v>
      </c>
      <c r="H626" s="11"/>
      <c r="I626" s="11"/>
      <c r="J626" s="11" t="s">
        <v>343</v>
      </c>
      <c r="K626" s="1" t="s">
        <v>1368</v>
      </c>
      <c r="L626" s="1" t="s">
        <v>1369</v>
      </c>
      <c r="M626" s="1" t="s">
        <v>1370</v>
      </c>
      <c r="N626" s="1" t="s">
        <v>1371</v>
      </c>
      <c r="O626" s="1" t="n">
        <f aca="false">'Behovsmodell (75p)'!$B$68</f>
        <v>330040.65</v>
      </c>
      <c r="P626" s="1" t="n">
        <f aca="false">('Behovsmodell (75p)'!$B$68)/12</f>
        <v>27503.3875</v>
      </c>
    </row>
    <row r="627" customFormat="false" ht="15" hidden="false" customHeight="true" outlineLevel="0" collapsed="false">
      <c r="A627" s="11" t="s">
        <v>1372</v>
      </c>
      <c r="B627" s="11"/>
      <c r="C627" s="11" t="s">
        <v>339</v>
      </c>
      <c r="D627" s="11"/>
      <c r="E627" s="11"/>
      <c r="F627" s="11" t="s">
        <v>441</v>
      </c>
      <c r="G627" s="11"/>
      <c r="H627" s="11"/>
      <c r="I627" s="11"/>
      <c r="J627" s="11" t="s">
        <v>343</v>
      </c>
    </row>
    <row r="628" customFormat="false" ht="15" hidden="false" customHeight="true" outlineLevel="0" collapsed="false">
      <c r="A628" s="11" t="s">
        <v>1373</v>
      </c>
      <c r="B628" s="11"/>
      <c r="C628" s="11" t="s">
        <v>339</v>
      </c>
      <c r="D628" s="11" t="s">
        <v>352</v>
      </c>
      <c r="E628" s="11" t="s">
        <v>356</v>
      </c>
      <c r="F628" s="11" t="s">
        <v>353</v>
      </c>
      <c r="G628" s="11" t="s">
        <v>84</v>
      </c>
      <c r="H628" s="11"/>
      <c r="I628" s="11"/>
      <c r="J628" s="11" t="s">
        <v>343</v>
      </c>
      <c r="O628" s="1" t="n">
        <f aca="false">'Behovsmodell (75p)'!$B$68</f>
        <v>330040.65</v>
      </c>
      <c r="P628" s="1" t="n">
        <f aca="false">('Behovsmodell (75p)'!$B$68)/12</f>
        <v>27503.3875</v>
      </c>
    </row>
    <row r="629" customFormat="false" ht="15" hidden="false" customHeight="true" outlineLevel="0" collapsed="false">
      <c r="A629" s="11" t="s">
        <v>1374</v>
      </c>
      <c r="B629" s="11"/>
      <c r="C629" s="11" t="s">
        <v>355</v>
      </c>
      <c r="D629" s="11"/>
      <c r="E629" s="11" t="s">
        <v>356</v>
      </c>
      <c r="F629" s="11" t="s">
        <v>539</v>
      </c>
      <c r="G629" s="11"/>
      <c r="H629" s="11"/>
      <c r="I629" s="11"/>
      <c r="J629" s="11" t="s">
        <v>343</v>
      </c>
    </row>
    <row r="630" customFormat="false" ht="15" hidden="false" customHeight="true" outlineLevel="0" collapsed="false">
      <c r="A630" s="11" t="s">
        <v>1375</v>
      </c>
      <c r="B630" s="11" t="s">
        <v>444</v>
      </c>
      <c r="C630" s="11" t="s">
        <v>355</v>
      </c>
      <c r="D630" s="11" t="s">
        <v>340</v>
      </c>
      <c r="E630" s="11" t="s">
        <v>341</v>
      </c>
      <c r="F630" s="11"/>
      <c r="G630" s="11"/>
      <c r="H630" s="11" t="s">
        <v>340</v>
      </c>
      <c r="I630" s="11"/>
      <c r="J630" s="11" t="s">
        <v>343</v>
      </c>
    </row>
    <row r="631" customFormat="false" ht="15" hidden="false" customHeight="true" outlineLevel="0" collapsed="false">
      <c r="A631" s="11" t="s">
        <v>1376</v>
      </c>
      <c r="B631" s="11"/>
      <c r="C631" s="11" t="s">
        <v>355</v>
      </c>
      <c r="D631" s="11" t="s">
        <v>347</v>
      </c>
      <c r="E631" s="11" t="s">
        <v>356</v>
      </c>
      <c r="F631" s="11" t="s">
        <v>358</v>
      </c>
      <c r="G631" s="11" t="s">
        <v>31</v>
      </c>
      <c r="H631" s="11"/>
      <c r="I631" s="11"/>
      <c r="J631" s="11" t="s">
        <v>343</v>
      </c>
      <c r="O631" s="1" t="n">
        <f aca="false">'Behovsmodell (75p)'!$B$62</f>
        <v>85559</v>
      </c>
      <c r="P631" s="1" t="n">
        <f aca="false">('Behovsmodell (75p)'!$B$62)/12</f>
        <v>7129.91666666667</v>
      </c>
    </row>
    <row r="632" customFormat="false" ht="15" hidden="false" customHeight="true" outlineLevel="0" collapsed="false">
      <c r="A632" s="24" t="s">
        <v>1377</v>
      </c>
      <c r="B632" s="24" t="s">
        <v>536</v>
      </c>
      <c r="C632" s="24" t="s">
        <v>536</v>
      </c>
      <c r="D632" s="24" t="s">
        <v>340</v>
      </c>
      <c r="E632" s="24" t="s">
        <v>341</v>
      </c>
      <c r="F632" s="24"/>
      <c r="G632" s="24"/>
      <c r="H632" s="24" t="s">
        <v>340</v>
      </c>
      <c r="I632" s="24" t="s">
        <v>384</v>
      </c>
      <c r="J632" s="24" t="s">
        <v>343</v>
      </c>
    </row>
    <row r="633" customFormat="false" ht="15" hidden="false" customHeight="true" outlineLevel="0" collapsed="false">
      <c r="A633" s="11" t="s">
        <v>1378</v>
      </c>
      <c r="B633" s="11"/>
      <c r="C633" s="11" t="s">
        <v>361</v>
      </c>
      <c r="D633" s="11" t="s">
        <v>347</v>
      </c>
      <c r="E633" s="11"/>
      <c r="F633" s="11"/>
      <c r="G633" s="11" t="s">
        <v>31</v>
      </c>
      <c r="H633" s="11"/>
      <c r="I633" s="11"/>
      <c r="J633" s="11" t="s">
        <v>343</v>
      </c>
      <c r="O633" s="1" t="n">
        <f aca="false">'Behovsmodell (75p)'!$B$62</f>
        <v>85559</v>
      </c>
      <c r="P633" s="1" t="n">
        <f aca="false">('Behovsmodell (75p)'!$B$62)/12</f>
        <v>7129.91666666667</v>
      </c>
    </row>
    <row r="634" customFormat="false" ht="15" hidden="false" customHeight="true" outlineLevel="0" collapsed="false">
      <c r="A634" s="11" t="s">
        <v>1379</v>
      </c>
      <c r="B634" s="11"/>
      <c r="C634" s="11" t="s">
        <v>355</v>
      </c>
      <c r="D634" s="11" t="s">
        <v>340</v>
      </c>
      <c r="E634" s="11" t="s">
        <v>341</v>
      </c>
      <c r="F634" s="11" t="s">
        <v>358</v>
      </c>
      <c r="G634" s="11"/>
      <c r="H634" s="11" t="s">
        <v>340</v>
      </c>
      <c r="I634" s="11"/>
      <c r="J634" s="11" t="s">
        <v>343</v>
      </c>
    </row>
    <row r="635" customFormat="false" ht="15" hidden="false" customHeight="true" outlineLevel="0" collapsed="false">
      <c r="A635" s="11" t="s">
        <v>1380</v>
      </c>
      <c r="B635" s="11"/>
      <c r="C635" s="11" t="s">
        <v>339</v>
      </c>
      <c r="D635" s="11"/>
      <c r="E635" s="11" t="s">
        <v>396</v>
      </c>
      <c r="F635" s="11"/>
      <c r="G635" s="11"/>
      <c r="H635" s="11"/>
      <c r="I635" s="11"/>
      <c r="J635" s="11" t="s">
        <v>343</v>
      </c>
    </row>
    <row r="636" customFormat="false" ht="15" hidden="false" customHeight="true" outlineLevel="0" collapsed="false">
      <c r="A636" s="11" t="s">
        <v>1381</v>
      </c>
      <c r="B636" s="11"/>
      <c r="C636" s="11" t="s">
        <v>457</v>
      </c>
      <c r="D636" s="11"/>
      <c r="E636" s="11"/>
      <c r="F636" s="11" t="s">
        <v>362</v>
      </c>
      <c r="G636" s="11"/>
      <c r="H636" s="11"/>
      <c r="I636" s="11"/>
      <c r="J636" s="11" t="s">
        <v>343</v>
      </c>
    </row>
    <row r="637" customFormat="false" ht="15" hidden="false" customHeight="true" outlineLevel="0" collapsed="false">
      <c r="A637" s="11" t="s">
        <v>1381</v>
      </c>
      <c r="B637" s="11"/>
      <c r="C637" s="11" t="s">
        <v>339</v>
      </c>
      <c r="D637" s="11"/>
      <c r="E637" s="11"/>
      <c r="F637" s="11" t="s">
        <v>362</v>
      </c>
      <c r="G637" s="11"/>
      <c r="H637" s="11"/>
      <c r="I637" s="11"/>
      <c r="J637" s="11" t="s">
        <v>343</v>
      </c>
    </row>
    <row r="638" customFormat="false" ht="15" hidden="false" customHeight="true" outlineLevel="0" collapsed="false">
      <c r="A638" s="11" t="s">
        <v>1382</v>
      </c>
      <c r="B638" s="11"/>
      <c r="C638" s="11" t="s">
        <v>346</v>
      </c>
      <c r="D638" s="11"/>
      <c r="E638" s="11" t="s">
        <v>356</v>
      </c>
      <c r="F638" s="11"/>
      <c r="G638" s="11"/>
      <c r="H638" s="11"/>
      <c r="I638" s="11"/>
      <c r="J638" s="11" t="s">
        <v>343</v>
      </c>
    </row>
    <row r="639" customFormat="false" ht="15" hidden="false" customHeight="true" outlineLevel="0" collapsed="false">
      <c r="A639" s="11" t="s">
        <v>1383</v>
      </c>
      <c r="B639" s="11"/>
      <c r="C639" s="11" t="s">
        <v>355</v>
      </c>
      <c r="D639" s="11"/>
      <c r="E639" s="11" t="s">
        <v>356</v>
      </c>
      <c r="F639" s="11" t="s">
        <v>358</v>
      </c>
      <c r="G639" s="11"/>
      <c r="H639" s="11"/>
      <c r="I639" s="11"/>
      <c r="J639" s="11" t="s">
        <v>343</v>
      </c>
    </row>
    <row r="640" customFormat="false" ht="15" hidden="false" customHeight="true" outlineLevel="0" collapsed="false">
      <c r="A640" s="11" t="s">
        <v>1384</v>
      </c>
      <c r="B640" s="11"/>
      <c r="C640" s="11" t="s">
        <v>351</v>
      </c>
      <c r="D640" s="11" t="s">
        <v>652</v>
      </c>
      <c r="E640" s="11" t="s">
        <v>356</v>
      </c>
      <c r="F640" s="11"/>
      <c r="G640" s="11" t="s">
        <v>126</v>
      </c>
      <c r="H640" s="11"/>
      <c r="I640" s="11"/>
      <c r="J640" s="11" t="s">
        <v>343</v>
      </c>
      <c r="O640" s="1" t="n">
        <f aca="false">'Behovsmodell (75p)'!$B$75</f>
        <v>11812.25</v>
      </c>
      <c r="P640" s="1" t="n">
        <f aca="false">('Behovsmodell (75p)'!$B$75)/12</f>
        <v>984.354166666667</v>
      </c>
    </row>
    <row r="641" customFormat="false" ht="15" hidden="false" customHeight="true" outlineLevel="0" collapsed="false">
      <c r="A641" s="11" t="s">
        <v>1385</v>
      </c>
      <c r="B641" s="11"/>
      <c r="C641" s="11" t="s">
        <v>457</v>
      </c>
      <c r="D641" s="11"/>
      <c r="E641" s="11" t="s">
        <v>396</v>
      </c>
      <c r="F641" s="11"/>
      <c r="G641" s="11"/>
      <c r="H641" s="11"/>
      <c r="I641" s="11"/>
      <c r="J641" s="11" t="s">
        <v>343</v>
      </c>
    </row>
    <row r="642" customFormat="false" ht="15" hidden="false" customHeight="true" outlineLevel="0" collapsed="false">
      <c r="A642" s="11" t="s">
        <v>1386</v>
      </c>
      <c r="B642" s="11" t="s">
        <v>446</v>
      </c>
      <c r="C642" s="11" t="s">
        <v>346</v>
      </c>
      <c r="D642" s="11" t="s">
        <v>340</v>
      </c>
      <c r="E642" s="11" t="s">
        <v>341</v>
      </c>
      <c r="F642" s="11" t="s">
        <v>358</v>
      </c>
      <c r="G642" s="11"/>
      <c r="H642" s="11" t="s">
        <v>340</v>
      </c>
      <c r="I642" s="11"/>
      <c r="J642" s="11" t="s">
        <v>343</v>
      </c>
    </row>
    <row r="643" customFormat="false" ht="15" hidden="false" customHeight="true" outlineLevel="0" collapsed="false">
      <c r="A643" s="11" t="s">
        <v>1387</v>
      </c>
      <c r="B643" s="11" t="s">
        <v>1388</v>
      </c>
      <c r="C643" s="11" t="s">
        <v>536</v>
      </c>
      <c r="D643" s="11" t="s">
        <v>340</v>
      </c>
      <c r="E643" s="11" t="s">
        <v>341</v>
      </c>
      <c r="F643" s="11"/>
      <c r="G643" s="11"/>
      <c r="H643" s="11" t="s">
        <v>340</v>
      </c>
      <c r="I643" s="11"/>
      <c r="J643" s="11" t="s">
        <v>343</v>
      </c>
    </row>
    <row r="644" customFormat="false" ht="15" hidden="false" customHeight="true" outlineLevel="0" collapsed="false">
      <c r="A644" s="11" t="s">
        <v>1389</v>
      </c>
      <c r="B644" s="11"/>
      <c r="C644" s="11" t="s">
        <v>351</v>
      </c>
      <c r="D644" s="11"/>
      <c r="E644" s="11" t="s">
        <v>356</v>
      </c>
      <c r="F644" s="11" t="s">
        <v>1390</v>
      </c>
      <c r="G644" s="11"/>
      <c r="H644" s="11"/>
      <c r="I644" s="11"/>
      <c r="J644" s="11" t="s">
        <v>343</v>
      </c>
    </row>
    <row r="645" customFormat="false" ht="15" hidden="false" customHeight="true" outlineLevel="0" collapsed="false">
      <c r="A645" s="11" t="s">
        <v>1391</v>
      </c>
      <c r="B645" s="11"/>
      <c r="C645" s="11" t="s">
        <v>597</v>
      </c>
      <c r="D645" s="11"/>
      <c r="E645" s="11"/>
      <c r="F645" s="11"/>
      <c r="G645" s="11"/>
      <c r="H645" s="11"/>
      <c r="I645" s="11"/>
      <c r="J645" s="11" t="s">
        <v>343</v>
      </c>
    </row>
    <row r="646" customFormat="false" ht="15" hidden="false" customHeight="true" outlineLevel="0" collapsed="false">
      <c r="A646" s="24" t="s">
        <v>558</v>
      </c>
      <c r="B646" s="24"/>
      <c r="C646" s="24" t="s">
        <v>597</v>
      </c>
      <c r="D646" s="24" t="s">
        <v>395</v>
      </c>
      <c r="E646" s="24"/>
      <c r="F646" s="24" t="s">
        <v>629</v>
      </c>
      <c r="G646" s="24" t="s">
        <v>129</v>
      </c>
      <c r="H646" s="24"/>
      <c r="I646" s="24" t="s">
        <v>560</v>
      </c>
      <c r="J646" s="24" t="s">
        <v>343</v>
      </c>
      <c r="O646" s="1" t="n">
        <f aca="false">'Behovsmodell (75p)'!$B$76</f>
        <v>111099</v>
      </c>
      <c r="P646" s="1" t="n">
        <f aca="false">('Behovsmodell (75p)'!$B$76)/12</f>
        <v>9258.25</v>
      </c>
    </row>
    <row r="647" customFormat="false" ht="15" hidden="false" customHeight="true" outlineLevel="0" collapsed="false">
      <c r="A647" s="11" t="s">
        <v>1392</v>
      </c>
      <c r="B647" s="11"/>
      <c r="C647" s="11" t="s">
        <v>339</v>
      </c>
      <c r="D647" s="11" t="s">
        <v>340</v>
      </c>
      <c r="E647" s="11" t="s">
        <v>341</v>
      </c>
      <c r="F647" s="11" t="s">
        <v>358</v>
      </c>
      <c r="G647" s="11"/>
      <c r="H647" s="11" t="s">
        <v>340</v>
      </c>
      <c r="I647" s="11"/>
      <c r="J647" s="11" t="s">
        <v>343</v>
      </c>
    </row>
    <row r="648" customFormat="false" ht="15" hidden="false" customHeight="true" outlineLevel="0" collapsed="false">
      <c r="A648" s="11" t="s">
        <v>1393</v>
      </c>
      <c r="B648" s="11" t="s">
        <v>338</v>
      </c>
      <c r="C648" s="11" t="s">
        <v>339</v>
      </c>
      <c r="D648" s="11" t="s">
        <v>340</v>
      </c>
      <c r="E648" s="11" t="s">
        <v>341</v>
      </c>
      <c r="F648" s="11" t="s">
        <v>1240</v>
      </c>
      <c r="G648" s="11"/>
      <c r="H648" s="11" t="s">
        <v>340</v>
      </c>
      <c r="I648" s="11"/>
      <c r="J648" s="11" t="s">
        <v>343</v>
      </c>
    </row>
    <row r="649" customFormat="false" ht="15" hidden="false" customHeight="true" outlineLevel="0" collapsed="false">
      <c r="A649" s="11" t="s">
        <v>1394</v>
      </c>
      <c r="B649" s="11"/>
      <c r="C649" s="11" t="s">
        <v>339</v>
      </c>
      <c r="D649" s="11" t="s">
        <v>340</v>
      </c>
      <c r="E649" s="11" t="s">
        <v>341</v>
      </c>
      <c r="F649" s="11" t="s">
        <v>358</v>
      </c>
      <c r="G649" s="11"/>
      <c r="H649" s="11" t="s">
        <v>340</v>
      </c>
      <c r="I649" s="11"/>
      <c r="J649" s="11" t="s">
        <v>343</v>
      </c>
    </row>
    <row r="650" customFormat="false" ht="15" hidden="false" customHeight="true" outlineLevel="0" collapsed="false">
      <c r="A650" s="11" t="s">
        <v>1395</v>
      </c>
      <c r="B650" s="11" t="s">
        <v>924</v>
      </c>
      <c r="C650" s="11" t="s">
        <v>339</v>
      </c>
      <c r="D650" s="11" t="s">
        <v>340</v>
      </c>
      <c r="E650" s="11" t="s">
        <v>341</v>
      </c>
      <c r="F650" s="11"/>
      <c r="G650" s="11"/>
      <c r="H650" s="11" t="s">
        <v>340</v>
      </c>
      <c r="I650" s="11"/>
      <c r="J650" s="11" t="s">
        <v>343</v>
      </c>
    </row>
    <row r="651" customFormat="false" ht="15" hidden="false" customHeight="true" outlineLevel="0" collapsed="false">
      <c r="A651" s="11" t="s">
        <v>1396</v>
      </c>
      <c r="B651" s="11" t="s">
        <v>536</v>
      </c>
      <c r="C651" s="11" t="s">
        <v>536</v>
      </c>
      <c r="D651" s="11"/>
      <c r="E651" s="11"/>
      <c r="F651" s="11" t="s">
        <v>656</v>
      </c>
      <c r="G651" s="11"/>
      <c r="H651" s="11"/>
      <c r="I651" s="11"/>
      <c r="J651" s="11" t="s">
        <v>343</v>
      </c>
    </row>
    <row r="652" customFormat="false" ht="15" hidden="false" customHeight="true" outlineLevel="0" collapsed="false">
      <c r="A652" s="11" t="s">
        <v>1397</v>
      </c>
      <c r="B652" s="11" t="s">
        <v>424</v>
      </c>
      <c r="C652" s="11" t="s">
        <v>339</v>
      </c>
      <c r="D652" s="11"/>
      <c r="E652" s="11" t="s">
        <v>356</v>
      </c>
      <c r="F652" s="11"/>
      <c r="G652" s="11"/>
      <c r="H652" s="11"/>
      <c r="I652" s="11"/>
      <c r="J652" s="11" t="s">
        <v>343</v>
      </c>
    </row>
    <row r="653" customFormat="false" ht="15" hidden="false" customHeight="true" outlineLevel="0" collapsed="false">
      <c r="A653" s="11" t="s">
        <v>1397</v>
      </c>
      <c r="B653" s="11"/>
      <c r="C653" s="11" t="s">
        <v>361</v>
      </c>
      <c r="D653" s="11"/>
      <c r="E653" s="11" t="s">
        <v>356</v>
      </c>
      <c r="F653" s="11"/>
      <c r="G653" s="11"/>
      <c r="H653" s="11"/>
      <c r="I653" s="11"/>
      <c r="J653" s="11" t="s">
        <v>343</v>
      </c>
    </row>
    <row r="654" customFormat="false" ht="15" hidden="false" customHeight="true" outlineLevel="0" collapsed="false">
      <c r="A654" s="11" t="s">
        <v>1398</v>
      </c>
      <c r="B654" s="11"/>
      <c r="C654" s="11" t="s">
        <v>346</v>
      </c>
      <c r="D654" s="11"/>
      <c r="E654" s="11"/>
      <c r="F654" s="11" t="s">
        <v>358</v>
      </c>
      <c r="G654" s="11"/>
      <c r="H654" s="11"/>
      <c r="I654" s="11"/>
      <c r="J654" s="11" t="s">
        <v>343</v>
      </c>
    </row>
    <row r="655" customFormat="false" ht="15" hidden="false" customHeight="true" outlineLevel="0" collapsed="false">
      <c r="A655" s="11" t="s">
        <v>1398</v>
      </c>
      <c r="B655" s="11"/>
      <c r="C655" s="11" t="s">
        <v>457</v>
      </c>
      <c r="D655" s="11"/>
      <c r="E655" s="11"/>
      <c r="F655" s="11" t="s">
        <v>358</v>
      </c>
      <c r="G655" s="11"/>
      <c r="H655" s="11"/>
      <c r="I655" s="11"/>
      <c r="J655" s="11" t="s">
        <v>343</v>
      </c>
    </row>
    <row r="656" customFormat="false" ht="15" hidden="false" customHeight="true" outlineLevel="0" collapsed="false">
      <c r="A656" s="11" t="s">
        <v>1399</v>
      </c>
      <c r="B656" s="11"/>
      <c r="C656" s="11" t="s">
        <v>339</v>
      </c>
      <c r="D656" s="11" t="s">
        <v>352</v>
      </c>
      <c r="E656" s="11"/>
      <c r="F656" s="11" t="s">
        <v>358</v>
      </c>
      <c r="G656" s="11" t="s">
        <v>84</v>
      </c>
      <c r="H656" s="11"/>
      <c r="I656" s="11"/>
      <c r="J656" s="11" t="s">
        <v>343</v>
      </c>
      <c r="O656" s="1" t="n">
        <f aca="false">'Behovsmodell (75p)'!$B$68</f>
        <v>330040.65</v>
      </c>
      <c r="P656" s="1" t="n">
        <f aca="false">('Behovsmodell (75p)'!$B$68)/12</f>
        <v>27503.3875</v>
      </c>
    </row>
    <row r="657" customFormat="false" ht="15" hidden="false" customHeight="true" outlineLevel="0" collapsed="false">
      <c r="A657" s="11" t="s">
        <v>1400</v>
      </c>
      <c r="B657" s="11" t="s">
        <v>1154</v>
      </c>
      <c r="C657" s="11" t="s">
        <v>355</v>
      </c>
      <c r="D657" s="11" t="s">
        <v>340</v>
      </c>
      <c r="E657" s="11" t="s">
        <v>341</v>
      </c>
      <c r="F657" s="11"/>
      <c r="G657" s="11"/>
      <c r="H657" s="11" t="s">
        <v>340</v>
      </c>
      <c r="I657" s="11"/>
      <c r="J657" s="11" t="s">
        <v>343</v>
      </c>
    </row>
    <row r="658" customFormat="false" ht="15" hidden="false" customHeight="true" outlineLevel="0" collapsed="false">
      <c r="A658" s="11" t="s">
        <v>1401</v>
      </c>
      <c r="B658" s="11"/>
      <c r="C658" s="11" t="s">
        <v>339</v>
      </c>
      <c r="D658" s="11" t="s">
        <v>340</v>
      </c>
      <c r="E658" s="11" t="s">
        <v>341</v>
      </c>
      <c r="F658" s="11" t="s">
        <v>656</v>
      </c>
      <c r="G658" s="11"/>
      <c r="H658" s="11" t="s">
        <v>340</v>
      </c>
      <c r="I658" s="11"/>
      <c r="J658" s="11" t="s">
        <v>343</v>
      </c>
    </row>
    <row r="659" customFormat="false" ht="15" hidden="false" customHeight="true" outlineLevel="0" collapsed="false">
      <c r="A659" s="11" t="s">
        <v>1402</v>
      </c>
      <c r="B659" s="11"/>
      <c r="C659" s="11" t="s">
        <v>339</v>
      </c>
      <c r="D659" s="11" t="s">
        <v>1403</v>
      </c>
      <c r="E659" s="11" t="s">
        <v>341</v>
      </c>
      <c r="F659" s="11" t="s">
        <v>358</v>
      </c>
      <c r="G659" s="11"/>
      <c r="H659" s="11" t="s">
        <v>1403</v>
      </c>
      <c r="I659" s="11"/>
      <c r="J659" s="11" t="s">
        <v>343</v>
      </c>
    </row>
    <row r="660" customFormat="false" ht="15" hidden="false" customHeight="true" outlineLevel="0" collapsed="false">
      <c r="A660" s="11" t="s">
        <v>1404</v>
      </c>
      <c r="B660" s="11"/>
      <c r="C660" s="11" t="s">
        <v>339</v>
      </c>
      <c r="D660" s="11" t="s">
        <v>340</v>
      </c>
      <c r="E660" s="11" t="s">
        <v>341</v>
      </c>
      <c r="F660" s="11"/>
      <c r="G660" s="11"/>
      <c r="H660" s="11" t="s">
        <v>340</v>
      </c>
      <c r="I660" s="11"/>
      <c r="J660" s="11" t="s">
        <v>343</v>
      </c>
      <c r="K660" s="1" t="s">
        <v>1405</v>
      </c>
      <c r="L660" s="1" t="s">
        <v>1406</v>
      </c>
      <c r="M660" s="1" t="s">
        <v>1407</v>
      </c>
      <c r="N660" s="1" t="s">
        <v>1408</v>
      </c>
    </row>
    <row r="661" customFormat="false" ht="15" hidden="false" customHeight="true" outlineLevel="0" collapsed="false">
      <c r="A661" s="11" t="s">
        <v>1409</v>
      </c>
      <c r="B661" s="11"/>
      <c r="C661" s="11" t="s">
        <v>346</v>
      </c>
      <c r="D661" s="11"/>
      <c r="E661" s="11" t="s">
        <v>396</v>
      </c>
      <c r="F661" s="11"/>
      <c r="G661" s="11"/>
      <c r="H661" s="11"/>
      <c r="I661" s="11"/>
      <c r="J661" s="11" t="s">
        <v>343</v>
      </c>
    </row>
    <row r="662" customFormat="false" ht="15" hidden="false" customHeight="true" outlineLevel="0" collapsed="false">
      <c r="A662" s="11" t="s">
        <v>1410</v>
      </c>
      <c r="B662" s="11"/>
      <c r="C662" s="11" t="s">
        <v>339</v>
      </c>
      <c r="D662" s="11" t="s">
        <v>347</v>
      </c>
      <c r="E662" s="11"/>
      <c r="F662" s="11"/>
      <c r="G662" s="11" t="s">
        <v>31</v>
      </c>
      <c r="H662" s="11"/>
      <c r="I662" s="11"/>
      <c r="J662" s="11" t="s">
        <v>343</v>
      </c>
      <c r="O662" s="1" t="n">
        <f aca="false">'Behovsmodell (75p)'!$B$62</f>
        <v>85559</v>
      </c>
      <c r="P662" s="1" t="n">
        <f aca="false">('Behovsmodell (75p)'!$B$62)/12</f>
        <v>7129.91666666667</v>
      </c>
    </row>
    <row r="663" customFormat="false" ht="15" hidden="false" customHeight="true" outlineLevel="0" collapsed="false">
      <c r="A663" s="11" t="s">
        <v>1411</v>
      </c>
      <c r="B663" s="11" t="s">
        <v>388</v>
      </c>
      <c r="C663" s="11" t="s">
        <v>388</v>
      </c>
      <c r="D663" s="11"/>
      <c r="E663" s="11" t="s">
        <v>356</v>
      </c>
      <c r="F663" s="11"/>
      <c r="G663" s="11"/>
      <c r="H663" s="11"/>
      <c r="I663" s="11"/>
      <c r="J663" s="11" t="s">
        <v>343</v>
      </c>
      <c r="K663" s="1" t="s">
        <v>1412</v>
      </c>
      <c r="L663" s="1" t="s">
        <v>1413</v>
      </c>
      <c r="N663" s="1" t="s">
        <v>1414</v>
      </c>
    </row>
    <row r="664" customFormat="false" ht="15" hidden="false" customHeight="true" outlineLevel="0" collapsed="false">
      <c r="A664" s="11" t="s">
        <v>1415</v>
      </c>
      <c r="B664" s="11"/>
      <c r="C664" s="11" t="s">
        <v>245</v>
      </c>
      <c r="D664" s="11"/>
      <c r="E664" s="11" t="s">
        <v>356</v>
      </c>
      <c r="F664" s="11"/>
      <c r="G664" s="11"/>
      <c r="H664" s="11"/>
      <c r="I664" s="11"/>
      <c r="J664" s="11" t="s">
        <v>343</v>
      </c>
    </row>
    <row r="665" customFormat="false" ht="15" hidden="false" customHeight="true" outlineLevel="0" collapsed="false">
      <c r="A665" s="11" t="s">
        <v>1416</v>
      </c>
      <c r="B665" s="11"/>
      <c r="C665" s="11" t="s">
        <v>597</v>
      </c>
      <c r="D665" s="11"/>
      <c r="E665" s="11" t="s">
        <v>356</v>
      </c>
      <c r="F665" s="11" t="s">
        <v>362</v>
      </c>
      <c r="G665" s="11"/>
      <c r="H665" s="11"/>
      <c r="I665" s="11"/>
      <c r="J665" s="11" t="s">
        <v>343</v>
      </c>
    </row>
    <row r="666" customFormat="false" ht="15" hidden="false" customHeight="true" outlineLevel="0" collapsed="false">
      <c r="A666" s="11" t="s">
        <v>1417</v>
      </c>
      <c r="B666" s="11"/>
      <c r="C666" s="11" t="s">
        <v>355</v>
      </c>
      <c r="D666" s="11" t="s">
        <v>340</v>
      </c>
      <c r="E666" s="11" t="s">
        <v>341</v>
      </c>
      <c r="F666" s="11"/>
      <c r="G666" s="11"/>
      <c r="H666" s="11" t="s">
        <v>340</v>
      </c>
      <c r="I666" s="11"/>
      <c r="J666" s="11" t="s">
        <v>343</v>
      </c>
    </row>
    <row r="667" customFormat="false" ht="15" hidden="false" customHeight="true" outlineLevel="0" collapsed="false">
      <c r="A667" s="11" t="s">
        <v>1418</v>
      </c>
      <c r="B667" s="11" t="s">
        <v>569</v>
      </c>
      <c r="C667" s="11" t="s">
        <v>536</v>
      </c>
      <c r="D667" s="11"/>
      <c r="E667" s="11" t="s">
        <v>356</v>
      </c>
      <c r="F667" s="11" t="s">
        <v>358</v>
      </c>
      <c r="G667" s="11"/>
      <c r="H667" s="11"/>
      <c r="I667" s="11"/>
      <c r="J667" s="11" t="s">
        <v>343</v>
      </c>
      <c r="K667" s="1" t="s">
        <v>1419</v>
      </c>
      <c r="L667" s="1" t="s">
        <v>1420</v>
      </c>
      <c r="N667" s="1" t="s">
        <v>1421</v>
      </c>
    </row>
    <row r="668" customFormat="false" ht="15" hidden="false" customHeight="true" outlineLevel="0" collapsed="false">
      <c r="A668" s="11" t="s">
        <v>1422</v>
      </c>
      <c r="B668" s="11" t="s">
        <v>569</v>
      </c>
      <c r="C668" s="11" t="s">
        <v>388</v>
      </c>
      <c r="D668" s="11"/>
      <c r="E668" s="11" t="s">
        <v>356</v>
      </c>
      <c r="F668" s="11" t="s">
        <v>358</v>
      </c>
      <c r="G668" s="11"/>
      <c r="H668" s="11"/>
      <c r="I668" s="11"/>
      <c r="J668" s="11" t="s">
        <v>343</v>
      </c>
      <c r="K668" s="1" t="s">
        <v>1419</v>
      </c>
      <c r="L668" s="1" t="s">
        <v>1420</v>
      </c>
      <c r="N668" s="1" t="s">
        <v>1421</v>
      </c>
    </row>
    <row r="669" customFormat="false" ht="15" hidden="false" customHeight="true" outlineLevel="0" collapsed="false">
      <c r="A669" s="11" t="s">
        <v>1423</v>
      </c>
      <c r="B669" s="11" t="s">
        <v>536</v>
      </c>
      <c r="C669" s="11" t="s">
        <v>536</v>
      </c>
      <c r="D669" s="11"/>
      <c r="E669" s="11" t="s">
        <v>356</v>
      </c>
      <c r="F669" s="11" t="s">
        <v>807</v>
      </c>
      <c r="G669" s="11"/>
      <c r="H669" s="11"/>
      <c r="I669" s="11"/>
      <c r="J669" s="11" t="s">
        <v>343</v>
      </c>
      <c r="K669" s="1" t="s">
        <v>1419</v>
      </c>
      <c r="L669" s="1" t="s">
        <v>1420</v>
      </c>
      <c r="N669" s="1" t="s">
        <v>1421</v>
      </c>
    </row>
    <row r="670" customFormat="false" ht="15" hidden="false" customHeight="true" outlineLevel="0" collapsed="false">
      <c r="A670" s="11" t="s">
        <v>1424</v>
      </c>
      <c r="B670" s="11" t="s">
        <v>338</v>
      </c>
      <c r="C670" s="11" t="s">
        <v>339</v>
      </c>
      <c r="D670" s="11" t="s">
        <v>340</v>
      </c>
      <c r="E670" s="11" t="s">
        <v>341</v>
      </c>
      <c r="F670" s="11" t="s">
        <v>1156</v>
      </c>
      <c r="G670" s="11"/>
      <c r="H670" s="11" t="s">
        <v>340</v>
      </c>
      <c r="I670" s="11"/>
      <c r="J670" s="11" t="s">
        <v>343</v>
      </c>
    </row>
    <row r="671" customFormat="false" ht="15" hidden="false" customHeight="true" outlineLevel="0" collapsed="false">
      <c r="A671" s="11" t="s">
        <v>1425</v>
      </c>
      <c r="B671" s="11" t="s">
        <v>380</v>
      </c>
      <c r="C671" s="11" t="s">
        <v>381</v>
      </c>
      <c r="D671" s="11"/>
      <c r="E671" s="11" t="s">
        <v>396</v>
      </c>
      <c r="F671" s="11" t="s">
        <v>999</v>
      </c>
      <c r="G671" s="11"/>
      <c r="H671" s="11"/>
      <c r="I671" s="11"/>
      <c r="J671" s="11" t="s">
        <v>343</v>
      </c>
    </row>
    <row r="672" customFormat="false" ht="15" hidden="false" customHeight="true" outlineLevel="0" collapsed="false">
      <c r="A672" s="11" t="s">
        <v>1426</v>
      </c>
      <c r="B672" s="11"/>
      <c r="C672" s="11" t="s">
        <v>339</v>
      </c>
      <c r="D672" s="11" t="s">
        <v>366</v>
      </c>
      <c r="E672" s="11" t="s">
        <v>341</v>
      </c>
      <c r="F672" s="11" t="s">
        <v>1427</v>
      </c>
      <c r="G672" s="11"/>
      <c r="H672" s="11" t="s">
        <v>366</v>
      </c>
      <c r="I672" s="11"/>
      <c r="J672" s="11" t="s">
        <v>343</v>
      </c>
    </row>
    <row r="673" customFormat="false" ht="15" hidden="false" customHeight="true" outlineLevel="0" collapsed="false">
      <c r="A673" s="11" t="s">
        <v>1428</v>
      </c>
      <c r="B673" s="11"/>
      <c r="C673" s="11" t="s">
        <v>339</v>
      </c>
      <c r="D673" s="11" t="s">
        <v>366</v>
      </c>
      <c r="E673" s="11" t="s">
        <v>341</v>
      </c>
      <c r="F673" s="11" t="s">
        <v>1429</v>
      </c>
      <c r="G673" s="11"/>
      <c r="H673" s="11" t="s">
        <v>366</v>
      </c>
      <c r="I673" s="11"/>
      <c r="J673" s="11" t="s">
        <v>343</v>
      </c>
    </row>
    <row r="674" customFormat="false" ht="15" hidden="false" customHeight="true" outlineLevel="0" collapsed="false">
      <c r="A674" s="11" t="s">
        <v>1430</v>
      </c>
      <c r="B674" s="11" t="s">
        <v>609</v>
      </c>
      <c r="C674" s="11" t="s">
        <v>339</v>
      </c>
      <c r="D674" s="11"/>
      <c r="E674" s="11"/>
      <c r="F674" s="11" t="s">
        <v>358</v>
      </c>
      <c r="G674" s="11"/>
      <c r="H674" s="11"/>
      <c r="I674" s="11"/>
      <c r="J674" s="11" t="s">
        <v>343</v>
      </c>
    </row>
    <row r="675" customFormat="false" ht="15" hidden="false" customHeight="true" outlineLevel="0" collapsed="false">
      <c r="A675" s="11" t="s">
        <v>1431</v>
      </c>
      <c r="B675" s="11"/>
      <c r="C675" s="11" t="s">
        <v>339</v>
      </c>
      <c r="D675" s="11" t="s">
        <v>347</v>
      </c>
      <c r="E675" s="11"/>
      <c r="F675" s="11" t="s">
        <v>358</v>
      </c>
      <c r="G675" s="11" t="s">
        <v>31</v>
      </c>
      <c r="H675" s="11"/>
      <c r="I675" s="11"/>
      <c r="J675" s="11" t="s">
        <v>343</v>
      </c>
      <c r="O675" s="1" t="n">
        <f aca="false">'Behovsmodell (75p)'!$B$62</f>
        <v>85559</v>
      </c>
      <c r="P675" s="1" t="n">
        <f aca="false">('Behovsmodell (75p)'!$B$62)/12</f>
        <v>7129.91666666667</v>
      </c>
    </row>
    <row r="676" customFormat="false" ht="15" hidden="false" customHeight="true" outlineLevel="0" collapsed="false">
      <c r="A676" s="11" t="s">
        <v>1432</v>
      </c>
      <c r="B676" s="11"/>
      <c r="C676" s="11" t="s">
        <v>339</v>
      </c>
      <c r="D676" s="11" t="s">
        <v>347</v>
      </c>
      <c r="E676" s="11"/>
      <c r="F676" s="11"/>
      <c r="G676" s="11" t="s">
        <v>31</v>
      </c>
      <c r="H676" s="11"/>
      <c r="I676" s="11"/>
      <c r="J676" s="11" t="s">
        <v>343</v>
      </c>
      <c r="O676" s="1" t="n">
        <f aca="false">'Behovsmodell (75p)'!$B$62</f>
        <v>85559</v>
      </c>
      <c r="P676" s="1" t="n">
        <f aca="false">('Behovsmodell (75p)'!$B$62)/12</f>
        <v>7129.91666666667</v>
      </c>
    </row>
    <row r="677" customFormat="false" ht="15" hidden="false" customHeight="true" outlineLevel="0" collapsed="false">
      <c r="A677" s="11" t="s">
        <v>1433</v>
      </c>
      <c r="B677" s="11"/>
      <c r="C677" s="11" t="s">
        <v>351</v>
      </c>
      <c r="D677" s="11"/>
      <c r="E677" s="11" t="s">
        <v>356</v>
      </c>
      <c r="F677" s="11" t="s">
        <v>358</v>
      </c>
      <c r="G677" s="11"/>
      <c r="H677" s="11"/>
      <c r="I677" s="11"/>
      <c r="J677" s="11" t="s">
        <v>343</v>
      </c>
      <c r="K677" s="1" t="s">
        <v>1434</v>
      </c>
      <c r="L677" s="1" t="s">
        <v>1435</v>
      </c>
      <c r="M677" s="1" t="s">
        <v>1436</v>
      </c>
      <c r="N677" s="1" t="s">
        <v>1437</v>
      </c>
    </row>
    <row r="678" customFormat="false" ht="15" hidden="false" customHeight="true" outlineLevel="0" collapsed="false">
      <c r="A678" s="11" t="s">
        <v>1438</v>
      </c>
      <c r="B678" s="11" t="s">
        <v>338</v>
      </c>
      <c r="C678" s="11" t="s">
        <v>339</v>
      </c>
      <c r="D678" s="11" t="s">
        <v>340</v>
      </c>
      <c r="E678" s="11" t="s">
        <v>341</v>
      </c>
      <c r="F678" s="11"/>
      <c r="G678" s="11"/>
      <c r="H678" s="11" t="s">
        <v>340</v>
      </c>
      <c r="I678" s="11"/>
      <c r="J678" s="11" t="s">
        <v>343</v>
      </c>
    </row>
    <row r="679" customFormat="false" ht="15" hidden="false" customHeight="true" outlineLevel="0" collapsed="false">
      <c r="A679" s="11" t="s">
        <v>1439</v>
      </c>
      <c r="B679" s="11"/>
      <c r="C679" s="11" t="s">
        <v>351</v>
      </c>
      <c r="D679" s="11"/>
      <c r="E679" s="11"/>
      <c r="F679" s="11"/>
      <c r="G679" s="11"/>
      <c r="H679" s="11"/>
      <c r="I679" s="11"/>
      <c r="J679" s="11" t="s">
        <v>343</v>
      </c>
      <c r="K679" s="1" t="s">
        <v>1440</v>
      </c>
      <c r="L679" s="1" t="s">
        <v>1441</v>
      </c>
      <c r="N679" s="1" t="s">
        <v>1442</v>
      </c>
    </row>
    <row r="680" customFormat="false" ht="15" hidden="false" customHeight="true" outlineLevel="0" collapsed="false">
      <c r="A680" s="11" t="s">
        <v>1443</v>
      </c>
      <c r="B680" s="11"/>
      <c r="C680" s="11" t="s">
        <v>361</v>
      </c>
      <c r="D680" s="11" t="s">
        <v>375</v>
      </c>
      <c r="E680" s="11"/>
      <c r="F680" s="11" t="s">
        <v>353</v>
      </c>
      <c r="G680" s="11" t="s">
        <v>68</v>
      </c>
      <c r="H680" s="11"/>
      <c r="I680" s="11"/>
      <c r="J680" s="11" t="s">
        <v>343</v>
      </c>
      <c r="O680" s="1" t="n">
        <f aca="false">'Behovsmodell (75p)'!$B$66</f>
        <v>206427.05</v>
      </c>
      <c r="P680" s="1" t="n">
        <f aca="false">('Behovsmodell (75p)'!$B$66)/12</f>
        <v>17202.2541666667</v>
      </c>
    </row>
    <row r="681" customFormat="false" ht="15" hidden="false" customHeight="true" outlineLevel="0" collapsed="false">
      <c r="A681" s="24" t="s">
        <v>1444</v>
      </c>
      <c r="B681" s="24"/>
      <c r="C681" s="24" t="s">
        <v>346</v>
      </c>
      <c r="D681" s="24"/>
      <c r="E681" s="24" t="s">
        <v>396</v>
      </c>
      <c r="F681" s="24" t="s">
        <v>1445</v>
      </c>
      <c r="G681" s="24"/>
      <c r="H681" s="24"/>
      <c r="I681" s="24" t="s">
        <v>384</v>
      </c>
      <c r="J681" s="24" t="s">
        <v>343</v>
      </c>
    </row>
    <row r="682" customFormat="false" ht="15" hidden="false" customHeight="true" outlineLevel="0" collapsed="false">
      <c r="A682" s="11" t="s">
        <v>1446</v>
      </c>
      <c r="B682" s="11" t="s">
        <v>695</v>
      </c>
      <c r="C682" s="11" t="s">
        <v>351</v>
      </c>
      <c r="D682" s="11" t="s">
        <v>395</v>
      </c>
      <c r="E682" s="11" t="s">
        <v>396</v>
      </c>
      <c r="F682" s="11" t="s">
        <v>430</v>
      </c>
      <c r="G682" s="11" t="s">
        <v>129</v>
      </c>
      <c r="H682" s="11"/>
      <c r="I682" s="11"/>
      <c r="J682" s="11" t="s">
        <v>343</v>
      </c>
      <c r="O682" s="1" t="n">
        <f aca="false">'Behovsmodell (75p)'!$B$76</f>
        <v>111099</v>
      </c>
      <c r="P682" s="1" t="n">
        <f aca="false">('Behovsmodell (75p)'!$B$76)/12</f>
        <v>9258.25</v>
      </c>
    </row>
    <row r="683" customFormat="false" ht="15" hidden="false" customHeight="true" outlineLevel="0" collapsed="false">
      <c r="A683" s="11" t="s">
        <v>1447</v>
      </c>
      <c r="B683" s="11" t="s">
        <v>668</v>
      </c>
      <c r="C683" s="11" t="s">
        <v>355</v>
      </c>
      <c r="D683" s="11" t="s">
        <v>340</v>
      </c>
      <c r="E683" s="11" t="s">
        <v>341</v>
      </c>
      <c r="F683" s="11"/>
      <c r="G683" s="11"/>
      <c r="H683" s="11" t="s">
        <v>340</v>
      </c>
      <c r="I683" s="11"/>
      <c r="J683" s="11" t="s">
        <v>343</v>
      </c>
    </row>
    <row r="684" customFormat="false" ht="15" hidden="false" customHeight="true" outlineLevel="0" collapsed="false">
      <c r="A684" s="11" t="s">
        <v>1448</v>
      </c>
      <c r="B684" s="11"/>
      <c r="C684" s="11" t="s">
        <v>245</v>
      </c>
      <c r="D684" s="11"/>
      <c r="E684" s="11" t="s">
        <v>356</v>
      </c>
      <c r="F684" s="11"/>
      <c r="G684" s="11"/>
      <c r="H684" s="11"/>
      <c r="I684" s="11"/>
      <c r="J684" s="11" t="s">
        <v>343</v>
      </c>
      <c r="K684" s="1" t="s">
        <v>1449</v>
      </c>
      <c r="L684" s="1" t="s">
        <v>1450</v>
      </c>
      <c r="M684" s="1" t="s">
        <v>1451</v>
      </c>
      <c r="N684" s="1" t="s">
        <v>1452</v>
      </c>
    </row>
    <row r="685" customFormat="false" ht="15" hidden="false" customHeight="true" outlineLevel="0" collapsed="false">
      <c r="A685" s="11" t="s">
        <v>1453</v>
      </c>
      <c r="B685" s="11"/>
      <c r="C685" s="11" t="s">
        <v>245</v>
      </c>
      <c r="D685" s="11" t="s">
        <v>347</v>
      </c>
      <c r="E685" s="11" t="s">
        <v>356</v>
      </c>
      <c r="F685" s="11" t="s">
        <v>441</v>
      </c>
      <c r="G685" s="11" t="s">
        <v>31</v>
      </c>
      <c r="H685" s="11"/>
      <c r="I685" s="11"/>
      <c r="J685" s="11" t="s">
        <v>343</v>
      </c>
      <c r="O685" s="1" t="n">
        <f aca="false">'Behovsmodell (75p)'!$B$62</f>
        <v>85559</v>
      </c>
      <c r="P685" s="1" t="n">
        <f aca="false">('Behovsmodell (75p)'!$B$62)/12</f>
        <v>7129.91666666667</v>
      </c>
    </row>
    <row r="686" customFormat="false" ht="15" hidden="false" customHeight="true" outlineLevel="0" collapsed="false">
      <c r="A686" s="11" t="s">
        <v>1454</v>
      </c>
      <c r="B686" s="11" t="s">
        <v>597</v>
      </c>
      <c r="C686" s="11" t="s">
        <v>597</v>
      </c>
      <c r="D686" s="11"/>
      <c r="E686" s="11" t="s">
        <v>396</v>
      </c>
      <c r="F686" s="11" t="s">
        <v>1455</v>
      </c>
      <c r="G686" s="11"/>
      <c r="H686" s="11"/>
      <c r="I686" s="11"/>
      <c r="J686" s="11" t="s">
        <v>343</v>
      </c>
    </row>
    <row r="687" customFormat="false" ht="15" hidden="false" customHeight="true" outlineLevel="0" collapsed="false">
      <c r="A687" s="11" t="s">
        <v>1456</v>
      </c>
      <c r="B687" s="11" t="s">
        <v>536</v>
      </c>
      <c r="C687" s="11" t="s">
        <v>536</v>
      </c>
      <c r="D687" s="11" t="s">
        <v>347</v>
      </c>
      <c r="E687" s="11" t="s">
        <v>356</v>
      </c>
      <c r="F687" s="11" t="s">
        <v>593</v>
      </c>
      <c r="G687" s="11" t="s">
        <v>31</v>
      </c>
      <c r="H687" s="11"/>
      <c r="I687" s="11"/>
      <c r="J687" s="11" t="s">
        <v>343</v>
      </c>
      <c r="K687" s="1" t="s">
        <v>1008</v>
      </c>
      <c r="L687" s="1" t="s">
        <v>1009</v>
      </c>
      <c r="N687" s="1" t="s">
        <v>1010</v>
      </c>
      <c r="O687" s="1" t="n">
        <f aca="false">'Behovsmodell (75p)'!$B$62</f>
        <v>85559</v>
      </c>
      <c r="P687" s="1" t="n">
        <f aca="false">('Behovsmodell (75p)'!$B$62)/12</f>
        <v>7129.91666666667</v>
      </c>
    </row>
    <row r="688" customFormat="false" ht="15" hidden="false" customHeight="true" outlineLevel="0" collapsed="false">
      <c r="A688" s="11" t="s">
        <v>1457</v>
      </c>
      <c r="B688" s="11" t="s">
        <v>536</v>
      </c>
      <c r="C688" s="11" t="s">
        <v>536</v>
      </c>
      <c r="D688" s="11" t="s">
        <v>347</v>
      </c>
      <c r="E688" s="11" t="s">
        <v>396</v>
      </c>
      <c r="F688" s="11" t="s">
        <v>593</v>
      </c>
      <c r="G688" s="11" t="s">
        <v>31</v>
      </c>
      <c r="H688" s="11"/>
      <c r="I688" s="11"/>
      <c r="J688" s="11" t="s">
        <v>343</v>
      </c>
      <c r="K688" s="1" t="s">
        <v>1008</v>
      </c>
      <c r="L688" s="1" t="s">
        <v>1009</v>
      </c>
      <c r="N688" s="1" t="s">
        <v>1010</v>
      </c>
      <c r="O688" s="1" t="n">
        <f aca="false">'Behovsmodell (75p)'!$B$62</f>
        <v>85559</v>
      </c>
      <c r="P688" s="1" t="n">
        <f aca="false">('Behovsmodell (75p)'!$B$62)/12</f>
        <v>7129.91666666667</v>
      </c>
    </row>
    <row r="689" customFormat="false" ht="15" hidden="false" customHeight="true" outlineLevel="0" collapsed="false">
      <c r="A689" s="11" t="s">
        <v>1458</v>
      </c>
      <c r="B689" s="11" t="s">
        <v>901</v>
      </c>
      <c r="C689" s="11" t="s">
        <v>339</v>
      </c>
      <c r="D689" s="11"/>
      <c r="E689" s="11" t="s">
        <v>356</v>
      </c>
      <c r="F689" s="11"/>
      <c r="G689" s="11"/>
      <c r="H689" s="11"/>
      <c r="I689" s="11"/>
      <c r="J689" s="11" t="s">
        <v>343</v>
      </c>
    </row>
    <row r="690" customFormat="false" ht="15" hidden="false" customHeight="true" outlineLevel="0" collapsed="false">
      <c r="A690" s="11" t="s">
        <v>1459</v>
      </c>
      <c r="B690" s="11" t="s">
        <v>1071</v>
      </c>
      <c r="C690" s="11" t="s">
        <v>536</v>
      </c>
      <c r="D690" s="11" t="s">
        <v>1108</v>
      </c>
      <c r="E690" s="11" t="s">
        <v>356</v>
      </c>
      <c r="F690" s="11" t="s">
        <v>358</v>
      </c>
      <c r="G690" s="11" t="s">
        <v>31</v>
      </c>
      <c r="H690" s="11" t="s">
        <v>366</v>
      </c>
      <c r="I690" s="11"/>
      <c r="J690" s="11" t="s">
        <v>343</v>
      </c>
      <c r="K690" s="1" t="s">
        <v>1460</v>
      </c>
      <c r="L690" s="1" t="s">
        <v>1461</v>
      </c>
      <c r="N690" s="1" t="s">
        <v>1462</v>
      </c>
      <c r="O690" s="1" t="n">
        <f aca="false">'Behovsmodell (75p)'!$B$62</f>
        <v>85559</v>
      </c>
      <c r="P690" s="1" t="n">
        <f aca="false">('Behovsmodell (75p)'!$B$62)/12</f>
        <v>7129.91666666667</v>
      </c>
    </row>
    <row r="691" customFormat="false" ht="15" hidden="false" customHeight="true" outlineLevel="0" collapsed="false">
      <c r="A691" s="11" t="s">
        <v>1463</v>
      </c>
      <c r="B691" s="11" t="s">
        <v>424</v>
      </c>
      <c r="C691" s="11" t="s">
        <v>339</v>
      </c>
      <c r="D691" s="11" t="s">
        <v>347</v>
      </c>
      <c r="E691" s="11" t="s">
        <v>356</v>
      </c>
      <c r="F691" s="11" t="s">
        <v>353</v>
      </c>
      <c r="G691" s="11" t="s">
        <v>31</v>
      </c>
      <c r="H691" s="11"/>
      <c r="I691" s="11"/>
      <c r="J691" s="11" t="s">
        <v>343</v>
      </c>
      <c r="O691" s="1" t="n">
        <f aca="false">'Behovsmodell (75p)'!$B$62</f>
        <v>85559</v>
      </c>
      <c r="P691" s="1" t="n">
        <f aca="false">('Behovsmodell (75p)'!$B$62)/12</f>
        <v>7129.91666666667</v>
      </c>
    </row>
    <row r="692" customFormat="false" ht="15" hidden="false" customHeight="true" outlineLevel="0" collapsed="false">
      <c r="A692" s="11" t="s">
        <v>1464</v>
      </c>
      <c r="B692" s="11" t="s">
        <v>1465</v>
      </c>
      <c r="C692" s="11" t="s">
        <v>536</v>
      </c>
      <c r="D692" s="11" t="s">
        <v>366</v>
      </c>
      <c r="E692" s="11" t="s">
        <v>341</v>
      </c>
      <c r="F692" s="11"/>
      <c r="G692" s="11"/>
      <c r="H692" s="11" t="s">
        <v>366</v>
      </c>
      <c r="I692" s="11"/>
      <c r="J692" s="11" t="s">
        <v>343</v>
      </c>
    </row>
    <row r="693" customFormat="false" ht="15" hidden="false" customHeight="true" outlineLevel="0" collapsed="false">
      <c r="A693" s="11" t="s">
        <v>1466</v>
      </c>
      <c r="B693" s="11" t="s">
        <v>742</v>
      </c>
      <c r="C693" s="11" t="s">
        <v>339</v>
      </c>
      <c r="D693" s="11" t="s">
        <v>340</v>
      </c>
      <c r="E693" s="11" t="s">
        <v>341</v>
      </c>
      <c r="F693" s="11"/>
      <c r="G693" s="11"/>
      <c r="H693" s="11" t="s">
        <v>340</v>
      </c>
      <c r="I693" s="11"/>
      <c r="J693" s="11" t="s">
        <v>343</v>
      </c>
    </row>
    <row r="694" customFormat="false" ht="15" hidden="false" customHeight="true" outlineLevel="0" collapsed="false">
      <c r="A694" s="11" t="s">
        <v>1467</v>
      </c>
      <c r="B694" s="11"/>
      <c r="C694" s="11" t="s">
        <v>597</v>
      </c>
      <c r="D694" s="11"/>
      <c r="E694" s="11" t="s">
        <v>356</v>
      </c>
      <c r="F694" s="11" t="s">
        <v>353</v>
      </c>
      <c r="G694" s="11"/>
      <c r="H694" s="11"/>
      <c r="I694" s="11"/>
      <c r="J694" s="11" t="s">
        <v>343</v>
      </c>
      <c r="K694" s="1" t="s">
        <v>1468</v>
      </c>
      <c r="L694" s="1" t="s">
        <v>1469</v>
      </c>
      <c r="M694" s="1" t="s">
        <v>1470</v>
      </c>
      <c r="N694" s="1" t="s">
        <v>1471</v>
      </c>
    </row>
    <row r="695" customFormat="false" ht="15" hidden="false" customHeight="true" outlineLevel="0" collapsed="false">
      <c r="A695" s="11" t="s">
        <v>1467</v>
      </c>
      <c r="B695" s="11"/>
      <c r="C695" s="11" t="s">
        <v>339</v>
      </c>
      <c r="D695" s="11" t="s">
        <v>347</v>
      </c>
      <c r="E695" s="11" t="s">
        <v>356</v>
      </c>
      <c r="F695" s="11" t="s">
        <v>353</v>
      </c>
      <c r="G695" s="11" t="s">
        <v>31</v>
      </c>
      <c r="H695" s="11"/>
      <c r="I695" s="11"/>
      <c r="J695" s="11" t="s">
        <v>343</v>
      </c>
      <c r="K695" s="1" t="s">
        <v>1468</v>
      </c>
      <c r="L695" s="1" t="s">
        <v>1469</v>
      </c>
      <c r="M695" s="1" t="s">
        <v>1470</v>
      </c>
      <c r="N695" s="1" t="s">
        <v>1471</v>
      </c>
      <c r="O695" s="1" t="n">
        <f aca="false">'Behovsmodell (75p)'!$B$62</f>
        <v>85559</v>
      </c>
      <c r="P695" s="1" t="n">
        <f aca="false">('Behovsmodell (75p)'!$B$62)/12</f>
        <v>7129.91666666667</v>
      </c>
    </row>
    <row r="696" customFormat="false" ht="15" hidden="false" customHeight="true" outlineLevel="0" collapsed="false">
      <c r="A696" s="11" t="s">
        <v>1472</v>
      </c>
      <c r="B696" s="11"/>
      <c r="C696" s="11" t="s">
        <v>403</v>
      </c>
      <c r="D696" s="11"/>
      <c r="E696" s="11" t="s">
        <v>396</v>
      </c>
      <c r="F696" s="11" t="s">
        <v>358</v>
      </c>
      <c r="G696" s="11"/>
      <c r="H696" s="11"/>
      <c r="I696" s="11"/>
      <c r="J696" s="11" t="s">
        <v>343</v>
      </c>
    </row>
    <row r="697" customFormat="false" ht="15" hidden="false" customHeight="true" outlineLevel="0" collapsed="false">
      <c r="A697" s="11" t="s">
        <v>1473</v>
      </c>
      <c r="B697" s="11"/>
      <c r="C697" s="11" t="s">
        <v>355</v>
      </c>
      <c r="D697" s="11"/>
      <c r="E697" s="11" t="s">
        <v>356</v>
      </c>
      <c r="F697" s="11" t="s">
        <v>656</v>
      </c>
      <c r="G697" s="11"/>
      <c r="H697" s="11"/>
      <c r="I697" s="11"/>
      <c r="J697" s="11" t="s">
        <v>343</v>
      </c>
    </row>
    <row r="698" customFormat="false" ht="15" hidden="false" customHeight="true" outlineLevel="0" collapsed="false">
      <c r="A698" s="11" t="s">
        <v>1474</v>
      </c>
      <c r="B698" s="11"/>
      <c r="C698" s="11" t="s">
        <v>361</v>
      </c>
      <c r="D698" s="11"/>
      <c r="E698" s="11"/>
      <c r="F698" s="11" t="s">
        <v>656</v>
      </c>
      <c r="G698" s="11"/>
      <c r="H698" s="11"/>
      <c r="I698" s="11"/>
      <c r="J698" s="11" t="s">
        <v>343</v>
      </c>
    </row>
    <row r="699" customFormat="false" ht="15" hidden="false" customHeight="true" outlineLevel="0" collapsed="false">
      <c r="A699" s="11" t="s">
        <v>1475</v>
      </c>
      <c r="B699" s="11"/>
      <c r="C699" s="11" t="s">
        <v>339</v>
      </c>
      <c r="D699" s="11" t="s">
        <v>352</v>
      </c>
      <c r="E699" s="11"/>
      <c r="F699" s="11" t="s">
        <v>358</v>
      </c>
      <c r="G699" s="11" t="s">
        <v>84</v>
      </c>
      <c r="H699" s="11"/>
      <c r="I699" s="11"/>
      <c r="J699" s="11" t="s">
        <v>343</v>
      </c>
      <c r="O699" s="1" t="n">
        <f aca="false">'Behovsmodell (75p)'!$B$68</f>
        <v>330040.65</v>
      </c>
      <c r="P699" s="1" t="n">
        <f aca="false">('Behovsmodell (75p)'!$B$68)/12</f>
        <v>27503.3875</v>
      </c>
    </row>
    <row r="700" customFormat="false" ht="15" hidden="false" customHeight="true" outlineLevel="0" collapsed="false">
      <c r="A700" s="11" t="s">
        <v>1475</v>
      </c>
      <c r="B700" s="11" t="s">
        <v>1365</v>
      </c>
      <c r="C700" s="11" t="s">
        <v>361</v>
      </c>
      <c r="D700" s="11"/>
      <c r="E700" s="11" t="s">
        <v>356</v>
      </c>
      <c r="F700" s="11" t="s">
        <v>358</v>
      </c>
      <c r="G700" s="11"/>
      <c r="H700" s="11"/>
      <c r="I700" s="11"/>
      <c r="J700" s="11" t="s">
        <v>343</v>
      </c>
    </row>
    <row r="701" customFormat="false" ht="15" hidden="false" customHeight="true" outlineLevel="0" collapsed="false">
      <c r="A701" s="11" t="s">
        <v>1476</v>
      </c>
      <c r="B701" s="11" t="s">
        <v>692</v>
      </c>
      <c r="C701" s="11" t="s">
        <v>355</v>
      </c>
      <c r="D701" s="11"/>
      <c r="E701" s="11" t="s">
        <v>356</v>
      </c>
      <c r="F701" s="11" t="s">
        <v>353</v>
      </c>
      <c r="G701" s="11"/>
      <c r="H701" s="11"/>
      <c r="I701" s="11"/>
      <c r="J701" s="11" t="s">
        <v>343</v>
      </c>
    </row>
    <row r="702" customFormat="false" ht="15" hidden="false" customHeight="true" outlineLevel="0" collapsed="false">
      <c r="A702" s="11" t="s">
        <v>1477</v>
      </c>
      <c r="B702" s="11"/>
      <c r="C702" s="11" t="s">
        <v>339</v>
      </c>
      <c r="D702" s="11" t="s">
        <v>347</v>
      </c>
      <c r="E702" s="11" t="s">
        <v>396</v>
      </c>
      <c r="F702" s="11" t="s">
        <v>548</v>
      </c>
      <c r="G702" s="11" t="s">
        <v>31</v>
      </c>
      <c r="H702" s="11"/>
      <c r="I702" s="11"/>
      <c r="J702" s="11" t="s">
        <v>343</v>
      </c>
      <c r="O702" s="1" t="n">
        <f aca="false">'Behovsmodell (75p)'!$B$62</f>
        <v>85559</v>
      </c>
      <c r="P702" s="1" t="n">
        <f aca="false">('Behovsmodell (75p)'!$B$62)/12</f>
        <v>7129.91666666667</v>
      </c>
    </row>
    <row r="703" customFormat="false" ht="15" hidden="false" customHeight="true" outlineLevel="0" collapsed="false">
      <c r="A703" s="11" t="s">
        <v>1478</v>
      </c>
      <c r="B703" s="11"/>
      <c r="C703" s="11" t="s">
        <v>339</v>
      </c>
      <c r="D703" s="11" t="s">
        <v>340</v>
      </c>
      <c r="E703" s="11" t="s">
        <v>341</v>
      </c>
      <c r="F703" s="11"/>
      <c r="G703" s="11"/>
      <c r="H703" s="11" t="s">
        <v>340</v>
      </c>
      <c r="I703" s="11"/>
      <c r="J703" s="11" t="s">
        <v>343</v>
      </c>
    </row>
    <row r="704" customFormat="false" ht="15" hidden="false" customHeight="true" outlineLevel="0" collapsed="false">
      <c r="A704" s="11" t="s">
        <v>1479</v>
      </c>
      <c r="B704" s="11"/>
      <c r="C704" s="11" t="s">
        <v>457</v>
      </c>
      <c r="D704" s="11" t="s">
        <v>347</v>
      </c>
      <c r="E704" s="11"/>
      <c r="F704" s="11"/>
      <c r="G704" s="11" t="s">
        <v>31</v>
      </c>
      <c r="H704" s="11"/>
      <c r="I704" s="11"/>
      <c r="J704" s="11" t="s">
        <v>343</v>
      </c>
      <c r="O704" s="1" t="n">
        <f aca="false">'Behovsmodell (75p)'!$B$62</f>
        <v>85559</v>
      </c>
      <c r="P704" s="1" t="n">
        <f aca="false">('Behovsmodell (75p)'!$B$62)/12</f>
        <v>7129.91666666667</v>
      </c>
    </row>
    <row r="705" customFormat="false" ht="15" hidden="false" customHeight="true" outlineLevel="0" collapsed="false">
      <c r="A705" s="11" t="s">
        <v>1480</v>
      </c>
      <c r="B705" s="11" t="s">
        <v>892</v>
      </c>
      <c r="C705" s="11" t="s">
        <v>388</v>
      </c>
      <c r="D705" s="11" t="s">
        <v>352</v>
      </c>
      <c r="E705" s="11"/>
      <c r="F705" s="11" t="s">
        <v>539</v>
      </c>
      <c r="G705" s="11" t="s">
        <v>84</v>
      </c>
      <c r="H705" s="11"/>
      <c r="I705" s="11"/>
      <c r="J705" s="11" t="s">
        <v>343</v>
      </c>
      <c r="K705" s="1" t="s">
        <v>1481</v>
      </c>
      <c r="N705" s="1" t="s">
        <v>1482</v>
      </c>
      <c r="O705" s="1" t="n">
        <f aca="false">'Behovsmodell (75p)'!$B$68</f>
        <v>330040.65</v>
      </c>
      <c r="P705" s="1" t="n">
        <f aca="false">('Behovsmodell (75p)'!$B$68)/12</f>
        <v>27503.3875</v>
      </c>
    </row>
    <row r="706" customFormat="false" ht="15" hidden="false" customHeight="true" outlineLevel="0" collapsed="false">
      <c r="A706" s="11" t="s">
        <v>1483</v>
      </c>
      <c r="B706" s="11"/>
      <c r="C706" s="11" t="s">
        <v>245</v>
      </c>
      <c r="D706" s="11" t="s">
        <v>347</v>
      </c>
      <c r="E706" s="11" t="s">
        <v>356</v>
      </c>
      <c r="F706" s="11" t="s">
        <v>362</v>
      </c>
      <c r="G706" s="11" t="s">
        <v>31</v>
      </c>
      <c r="H706" s="11"/>
      <c r="I706" s="11"/>
      <c r="J706" s="11" t="s">
        <v>343</v>
      </c>
      <c r="O706" s="1" t="n">
        <f aca="false">'Behovsmodell (75p)'!$B$62</f>
        <v>85559</v>
      </c>
      <c r="P706" s="1" t="n">
        <f aca="false">('Behovsmodell (75p)'!$B$62)/12</f>
        <v>7129.91666666667</v>
      </c>
    </row>
    <row r="707" customFormat="false" ht="15" hidden="false" customHeight="true" outlineLevel="0" collapsed="false">
      <c r="A707" s="11" t="s">
        <v>1484</v>
      </c>
      <c r="B707" s="11"/>
      <c r="C707" s="11" t="s">
        <v>339</v>
      </c>
      <c r="D707" s="11" t="s">
        <v>347</v>
      </c>
      <c r="E707" s="11" t="s">
        <v>356</v>
      </c>
      <c r="F707" s="11"/>
      <c r="G707" s="11" t="s">
        <v>31</v>
      </c>
      <c r="H707" s="11"/>
      <c r="I707" s="11"/>
      <c r="J707" s="11" t="s">
        <v>343</v>
      </c>
      <c r="O707" s="1" t="n">
        <f aca="false">'Behovsmodell (75p)'!$B$62</f>
        <v>85559</v>
      </c>
      <c r="P707" s="1" t="n">
        <f aca="false">('Behovsmodell (75p)'!$B$62)/12</f>
        <v>7129.91666666667</v>
      </c>
    </row>
    <row r="708" customFormat="false" ht="15" hidden="false" customHeight="true" outlineLevel="0" collapsed="false">
      <c r="A708" s="11" t="s">
        <v>1485</v>
      </c>
      <c r="B708" s="11"/>
      <c r="C708" s="11" t="s">
        <v>339</v>
      </c>
      <c r="D708" s="11"/>
      <c r="E708" s="11" t="s">
        <v>356</v>
      </c>
      <c r="F708" s="11" t="s">
        <v>358</v>
      </c>
      <c r="G708" s="11"/>
      <c r="H708" s="11"/>
      <c r="I708" s="11"/>
      <c r="J708" s="11" t="s">
        <v>343</v>
      </c>
    </row>
    <row r="709" customFormat="false" ht="15" hidden="false" customHeight="true" outlineLevel="0" collapsed="false">
      <c r="A709" s="11" t="s">
        <v>1486</v>
      </c>
      <c r="B709" s="11"/>
      <c r="C709" s="11" t="s">
        <v>355</v>
      </c>
      <c r="D709" s="11" t="s">
        <v>340</v>
      </c>
      <c r="E709" s="11" t="s">
        <v>341</v>
      </c>
      <c r="F709" s="11" t="s">
        <v>559</v>
      </c>
      <c r="G709" s="11"/>
      <c r="H709" s="11" t="s">
        <v>340</v>
      </c>
      <c r="I709" s="11"/>
      <c r="J709" s="11" t="s">
        <v>343</v>
      </c>
    </row>
    <row r="710" customFormat="false" ht="15" hidden="false" customHeight="true" outlineLevel="0" collapsed="false">
      <c r="A710" s="11" t="s">
        <v>1487</v>
      </c>
      <c r="B710" s="11" t="s">
        <v>611</v>
      </c>
      <c r="C710" s="11" t="s">
        <v>339</v>
      </c>
      <c r="D710" s="11"/>
      <c r="E710" s="11" t="s">
        <v>356</v>
      </c>
      <c r="F710" s="11"/>
      <c r="G710" s="11"/>
      <c r="H710" s="11"/>
      <c r="I710" s="11"/>
      <c r="J710" s="11" t="s">
        <v>343</v>
      </c>
    </row>
    <row r="711" customFormat="false" ht="15" hidden="false" customHeight="true" outlineLevel="0" collapsed="false">
      <c r="A711" s="11" t="s">
        <v>1488</v>
      </c>
      <c r="B711" s="11"/>
      <c r="C711" s="11" t="s">
        <v>339</v>
      </c>
      <c r="D711" s="11" t="s">
        <v>340</v>
      </c>
      <c r="E711" s="11" t="s">
        <v>341</v>
      </c>
      <c r="F711" s="11"/>
      <c r="G711" s="11"/>
      <c r="H711" s="11" t="s">
        <v>340</v>
      </c>
      <c r="I711" s="11"/>
      <c r="J711" s="11" t="s">
        <v>343</v>
      </c>
    </row>
    <row r="712" customFormat="false" ht="15" hidden="false" customHeight="true" outlineLevel="0" collapsed="false">
      <c r="A712" s="11" t="s">
        <v>1489</v>
      </c>
      <c r="B712" s="11" t="s">
        <v>338</v>
      </c>
      <c r="C712" s="11" t="s">
        <v>339</v>
      </c>
      <c r="D712" s="11" t="s">
        <v>340</v>
      </c>
      <c r="E712" s="11" t="s">
        <v>341</v>
      </c>
      <c r="F712" s="11" t="s">
        <v>358</v>
      </c>
      <c r="G712" s="11"/>
      <c r="H712" s="11" t="s">
        <v>340</v>
      </c>
      <c r="I712" s="11"/>
      <c r="J712" s="11" t="s">
        <v>343</v>
      </c>
    </row>
    <row r="713" customFormat="false" ht="15" hidden="false" customHeight="true" outlineLevel="0" collapsed="false">
      <c r="A713" s="11" t="s">
        <v>1490</v>
      </c>
      <c r="B713" s="11"/>
      <c r="C713" s="11" t="s">
        <v>245</v>
      </c>
      <c r="D713" s="11"/>
      <c r="E713" s="11" t="s">
        <v>356</v>
      </c>
      <c r="F713" s="11" t="s">
        <v>781</v>
      </c>
      <c r="G713" s="11"/>
      <c r="H713" s="11"/>
      <c r="I713" s="11"/>
      <c r="J713" s="11" t="s">
        <v>343</v>
      </c>
    </row>
    <row r="714" customFormat="false" ht="15" hidden="false" customHeight="true" outlineLevel="0" collapsed="false">
      <c r="A714" s="11" t="s">
        <v>1491</v>
      </c>
      <c r="B714" s="11" t="s">
        <v>338</v>
      </c>
      <c r="C714" s="11" t="s">
        <v>339</v>
      </c>
      <c r="D714" s="11" t="s">
        <v>375</v>
      </c>
      <c r="E714" s="11"/>
      <c r="F714" s="11" t="s">
        <v>435</v>
      </c>
      <c r="G714" s="11" t="s">
        <v>68</v>
      </c>
      <c r="H714" s="11"/>
      <c r="I714" s="11"/>
      <c r="J714" s="11" t="s">
        <v>343</v>
      </c>
      <c r="O714" s="1" t="n">
        <f aca="false">'Behovsmodell (75p)'!$B$66</f>
        <v>206427.05</v>
      </c>
      <c r="P714" s="1" t="n">
        <f aca="false">('Behovsmodell (75p)'!$B$66)/12</f>
        <v>17202.2541666667</v>
      </c>
    </row>
    <row r="715" customFormat="false" ht="15" hidden="false" customHeight="true" outlineLevel="0" collapsed="false">
      <c r="A715" s="11" t="s">
        <v>1492</v>
      </c>
      <c r="B715" s="11"/>
      <c r="C715" s="11" t="s">
        <v>339</v>
      </c>
      <c r="D715" s="11"/>
      <c r="E715" s="11" t="s">
        <v>356</v>
      </c>
      <c r="F715" s="11" t="s">
        <v>353</v>
      </c>
      <c r="G715" s="11"/>
      <c r="H715" s="11"/>
      <c r="I715" s="11"/>
      <c r="J715" s="11" t="s">
        <v>343</v>
      </c>
    </row>
    <row r="716" customFormat="false" ht="15" hidden="false" customHeight="true" outlineLevel="0" collapsed="false">
      <c r="A716" s="11" t="s">
        <v>1493</v>
      </c>
      <c r="B716" s="11" t="s">
        <v>602</v>
      </c>
      <c r="C716" s="11" t="s">
        <v>339</v>
      </c>
      <c r="D716" s="11" t="s">
        <v>347</v>
      </c>
      <c r="E716" s="11" t="s">
        <v>356</v>
      </c>
      <c r="F716" s="11" t="s">
        <v>358</v>
      </c>
      <c r="G716" s="11" t="s">
        <v>31</v>
      </c>
      <c r="H716" s="11"/>
      <c r="I716" s="11"/>
      <c r="J716" s="11" t="s">
        <v>343</v>
      </c>
      <c r="O716" s="1" t="n">
        <f aca="false">'Behovsmodell (75p)'!$B$62</f>
        <v>85559</v>
      </c>
      <c r="P716" s="1" t="n">
        <f aca="false">('Behovsmodell (75p)'!$B$62)/12</f>
        <v>7129.91666666667</v>
      </c>
    </row>
    <row r="717" customFormat="false" ht="15" hidden="false" customHeight="true" outlineLevel="0" collapsed="false">
      <c r="A717" s="24" t="s">
        <v>1494</v>
      </c>
      <c r="B717" s="24" t="s">
        <v>506</v>
      </c>
      <c r="C717" s="24" t="s">
        <v>414</v>
      </c>
      <c r="D717" s="24" t="s">
        <v>347</v>
      </c>
      <c r="E717" s="24" t="s">
        <v>396</v>
      </c>
      <c r="F717" s="24"/>
      <c r="G717" s="24" t="s">
        <v>31</v>
      </c>
      <c r="H717" s="24"/>
      <c r="I717" s="24" t="s">
        <v>384</v>
      </c>
      <c r="J717" s="24" t="s">
        <v>343</v>
      </c>
      <c r="O717" s="1" t="n">
        <f aca="false">'Behovsmodell (75p)'!$B$62</f>
        <v>85559</v>
      </c>
      <c r="P717" s="1" t="n">
        <f aca="false">('Behovsmodell (75p)'!$B$62)/12</f>
        <v>7129.91666666667</v>
      </c>
    </row>
    <row r="718" customFormat="false" ht="15" hidden="false" customHeight="true" outlineLevel="0" collapsed="false">
      <c r="A718" s="11" t="s">
        <v>1495</v>
      </c>
      <c r="B718" s="11"/>
      <c r="C718" s="11" t="s">
        <v>457</v>
      </c>
      <c r="D718" s="11" t="s">
        <v>347</v>
      </c>
      <c r="E718" s="11"/>
      <c r="F718" s="11"/>
      <c r="G718" s="11" t="s">
        <v>31</v>
      </c>
      <c r="H718" s="11"/>
      <c r="I718" s="11"/>
      <c r="J718" s="11" t="s">
        <v>343</v>
      </c>
      <c r="O718" s="1" t="n">
        <f aca="false">'Behovsmodell (75p)'!$B$62</f>
        <v>85559</v>
      </c>
      <c r="P718" s="1" t="n">
        <f aca="false">('Behovsmodell (75p)'!$B$62)/12</f>
        <v>7129.91666666667</v>
      </c>
    </row>
    <row r="719" customFormat="false" ht="15" hidden="false" customHeight="true" outlineLevel="0" collapsed="false">
      <c r="A719" s="11" t="s">
        <v>1496</v>
      </c>
      <c r="B719" s="11"/>
      <c r="C719" s="11" t="s">
        <v>339</v>
      </c>
      <c r="D719" s="11" t="s">
        <v>347</v>
      </c>
      <c r="E719" s="11" t="s">
        <v>356</v>
      </c>
      <c r="F719" s="11"/>
      <c r="G719" s="11" t="s">
        <v>31</v>
      </c>
      <c r="H719" s="11"/>
      <c r="I719" s="11"/>
      <c r="J719" s="11" t="s">
        <v>343</v>
      </c>
      <c r="O719" s="1" t="n">
        <f aca="false">'Behovsmodell (75p)'!$B$62</f>
        <v>85559</v>
      </c>
      <c r="P719" s="1" t="n">
        <f aca="false">('Behovsmodell (75p)'!$B$62)/12</f>
        <v>7129.91666666667</v>
      </c>
    </row>
    <row r="720" customFormat="false" ht="15" hidden="false" customHeight="true" outlineLevel="0" collapsed="false">
      <c r="A720" s="11" t="s">
        <v>1497</v>
      </c>
      <c r="B720" s="11"/>
      <c r="C720" s="11" t="s">
        <v>245</v>
      </c>
      <c r="D720" s="11"/>
      <c r="E720" s="11" t="s">
        <v>356</v>
      </c>
      <c r="F720" s="11" t="s">
        <v>971</v>
      </c>
      <c r="G720" s="11"/>
      <c r="H720" s="11"/>
      <c r="I720" s="11"/>
      <c r="J720" s="11" t="s">
        <v>343</v>
      </c>
    </row>
    <row r="721" customFormat="false" ht="15" hidden="false" customHeight="true" outlineLevel="0" collapsed="false">
      <c r="A721" s="11" t="s">
        <v>1498</v>
      </c>
      <c r="B721" s="11" t="s">
        <v>1499</v>
      </c>
      <c r="C721" s="11" t="s">
        <v>355</v>
      </c>
      <c r="D721" s="11"/>
      <c r="E721" s="11" t="s">
        <v>356</v>
      </c>
      <c r="F721" s="11" t="s">
        <v>358</v>
      </c>
      <c r="G721" s="11"/>
      <c r="H721" s="11"/>
      <c r="I721" s="11"/>
      <c r="J721" s="11" t="s">
        <v>343</v>
      </c>
    </row>
    <row r="722" customFormat="false" ht="15" hidden="false" customHeight="true" outlineLevel="0" collapsed="false">
      <c r="A722" s="11" t="s">
        <v>1500</v>
      </c>
      <c r="B722" s="11" t="s">
        <v>405</v>
      </c>
      <c r="C722" s="11" t="s">
        <v>346</v>
      </c>
      <c r="D722" s="11" t="s">
        <v>395</v>
      </c>
      <c r="E722" s="11" t="s">
        <v>396</v>
      </c>
      <c r="F722" s="11" t="s">
        <v>447</v>
      </c>
      <c r="G722" s="11" t="s">
        <v>129</v>
      </c>
      <c r="H722" s="11"/>
      <c r="I722" s="11"/>
      <c r="J722" s="11" t="s">
        <v>343</v>
      </c>
      <c r="O722" s="1" t="n">
        <f aca="false">'Behovsmodell (75p)'!$B$76</f>
        <v>111099</v>
      </c>
      <c r="P722" s="1" t="n">
        <f aca="false">('Behovsmodell (75p)'!$B$76)/12</f>
        <v>9258.25</v>
      </c>
    </row>
    <row r="723" customFormat="false" ht="15" hidden="false" customHeight="true" outlineLevel="0" collapsed="false">
      <c r="A723" s="11" t="s">
        <v>1501</v>
      </c>
      <c r="B723" s="11"/>
      <c r="C723" s="11" t="s">
        <v>339</v>
      </c>
      <c r="D723" s="11" t="s">
        <v>366</v>
      </c>
      <c r="E723" s="11" t="s">
        <v>341</v>
      </c>
      <c r="F723" s="11" t="s">
        <v>1035</v>
      </c>
      <c r="G723" s="11"/>
      <c r="H723" s="11" t="s">
        <v>366</v>
      </c>
      <c r="I723" s="11"/>
      <c r="J723" s="11" t="s">
        <v>343</v>
      </c>
    </row>
    <row r="724" customFormat="false" ht="15" hidden="false" customHeight="true" outlineLevel="0" collapsed="false">
      <c r="A724" s="11" t="s">
        <v>1502</v>
      </c>
      <c r="B724" s="11" t="s">
        <v>449</v>
      </c>
      <c r="C724" s="11" t="s">
        <v>245</v>
      </c>
      <c r="D724" s="11" t="s">
        <v>395</v>
      </c>
      <c r="E724" s="11" t="s">
        <v>356</v>
      </c>
      <c r="F724" s="11" t="s">
        <v>358</v>
      </c>
      <c r="G724" s="11" t="s">
        <v>129</v>
      </c>
      <c r="H724" s="11"/>
      <c r="I724" s="11"/>
      <c r="J724" s="11" t="s">
        <v>343</v>
      </c>
      <c r="O724" s="1" t="n">
        <f aca="false">'Behovsmodell (75p)'!$B$76</f>
        <v>111099</v>
      </c>
      <c r="P724" s="1" t="n">
        <f aca="false">('Behovsmodell (75p)'!$B$76)/12</f>
        <v>9258.25</v>
      </c>
    </row>
    <row r="725" customFormat="false" ht="15" hidden="false" customHeight="true" outlineLevel="0" collapsed="false">
      <c r="A725" s="11" t="s">
        <v>1503</v>
      </c>
      <c r="B725" s="11"/>
      <c r="C725" s="11" t="s">
        <v>361</v>
      </c>
      <c r="D725" s="11" t="s">
        <v>1504</v>
      </c>
      <c r="E725" s="11" t="s">
        <v>396</v>
      </c>
      <c r="F725" s="11"/>
      <c r="G725" s="11" t="s">
        <v>126</v>
      </c>
      <c r="H725" s="11" t="s">
        <v>366</v>
      </c>
      <c r="I725" s="11"/>
      <c r="J725" s="11" t="s">
        <v>343</v>
      </c>
      <c r="O725" s="1" t="n">
        <f aca="false">'Behovsmodell (75p)'!$B$75</f>
        <v>11812.25</v>
      </c>
      <c r="P725" s="1" t="n">
        <f aca="false">('Behovsmodell (75p)'!$B$75)/12</f>
        <v>984.354166666667</v>
      </c>
    </row>
    <row r="726" customFormat="false" ht="15" hidden="false" customHeight="true" outlineLevel="0" collapsed="false">
      <c r="A726" s="11" t="s">
        <v>1505</v>
      </c>
      <c r="B726" s="11"/>
      <c r="C726" s="11" t="s">
        <v>355</v>
      </c>
      <c r="D726" s="11"/>
      <c r="E726" s="11" t="s">
        <v>396</v>
      </c>
      <c r="F726" s="11" t="s">
        <v>358</v>
      </c>
      <c r="G726" s="11"/>
      <c r="H726" s="11"/>
      <c r="I726" s="11"/>
      <c r="J726" s="11" t="s">
        <v>343</v>
      </c>
    </row>
    <row r="727" customFormat="false" ht="15" hidden="false" customHeight="true" outlineLevel="0" collapsed="false">
      <c r="A727" s="11" t="s">
        <v>1506</v>
      </c>
      <c r="B727" s="11" t="s">
        <v>650</v>
      </c>
      <c r="C727" s="11" t="s">
        <v>414</v>
      </c>
      <c r="D727" s="11"/>
      <c r="E727" s="11" t="s">
        <v>356</v>
      </c>
      <c r="F727" s="11"/>
      <c r="G727" s="11"/>
      <c r="H727" s="11"/>
      <c r="I727" s="11"/>
      <c r="J727" s="11" t="s">
        <v>343</v>
      </c>
    </row>
    <row r="728" customFormat="false" ht="15" hidden="false" customHeight="true" outlineLevel="0" collapsed="false">
      <c r="A728" s="11" t="s">
        <v>1507</v>
      </c>
      <c r="B728" s="11"/>
      <c r="C728" s="11" t="s">
        <v>457</v>
      </c>
      <c r="D728" s="11"/>
      <c r="E728" s="11" t="s">
        <v>356</v>
      </c>
      <c r="F728" s="11" t="s">
        <v>358</v>
      </c>
      <c r="G728" s="11"/>
      <c r="H728" s="11"/>
      <c r="I728" s="11"/>
      <c r="J728" s="11" t="s">
        <v>343</v>
      </c>
      <c r="K728" s="1" t="s">
        <v>1508</v>
      </c>
      <c r="L728" s="1" t="s">
        <v>1509</v>
      </c>
      <c r="N728" s="1" t="s">
        <v>1510</v>
      </c>
    </row>
    <row r="729" customFormat="false" ht="15" hidden="false" customHeight="true" outlineLevel="0" collapsed="false">
      <c r="A729" s="11" t="s">
        <v>1511</v>
      </c>
      <c r="B729" s="11"/>
      <c r="C729" s="11" t="s">
        <v>351</v>
      </c>
      <c r="D729" s="11"/>
      <c r="E729" s="11" t="s">
        <v>356</v>
      </c>
      <c r="F729" s="11" t="s">
        <v>358</v>
      </c>
      <c r="G729" s="11"/>
      <c r="H729" s="11"/>
      <c r="I729" s="11"/>
      <c r="J729" s="11" t="s">
        <v>343</v>
      </c>
      <c r="K729" s="1" t="s">
        <v>1512</v>
      </c>
      <c r="L729" s="1" t="s">
        <v>1513</v>
      </c>
      <c r="M729" s="1" t="s">
        <v>1514</v>
      </c>
      <c r="N729" s="1" t="s">
        <v>1515</v>
      </c>
    </row>
    <row r="730" customFormat="false" ht="15" hidden="false" customHeight="true" outlineLevel="0" collapsed="false">
      <c r="A730" s="11" t="s">
        <v>1516</v>
      </c>
      <c r="B730" s="11"/>
      <c r="C730" s="11" t="s">
        <v>339</v>
      </c>
      <c r="D730" s="11" t="s">
        <v>366</v>
      </c>
      <c r="E730" s="11" t="s">
        <v>341</v>
      </c>
      <c r="F730" s="11"/>
      <c r="G730" s="11"/>
      <c r="H730" s="11" t="s">
        <v>366</v>
      </c>
      <c r="I730" s="11"/>
      <c r="J730" s="11" t="s">
        <v>343</v>
      </c>
    </row>
    <row r="731" customFormat="false" ht="15" hidden="false" customHeight="true" outlineLevel="0" collapsed="false">
      <c r="A731" s="11" t="s">
        <v>1517</v>
      </c>
      <c r="B731" s="11"/>
      <c r="C731" s="11" t="s">
        <v>245</v>
      </c>
      <c r="D731" s="11" t="s">
        <v>347</v>
      </c>
      <c r="E731" s="11"/>
      <c r="F731" s="11"/>
      <c r="G731" s="11" t="s">
        <v>31</v>
      </c>
      <c r="H731" s="11"/>
      <c r="I731" s="11"/>
      <c r="J731" s="11" t="s">
        <v>343</v>
      </c>
      <c r="O731" s="1" t="n">
        <f aca="false">'Behovsmodell (75p)'!$B$62</f>
        <v>85559</v>
      </c>
      <c r="P731" s="1" t="n">
        <f aca="false">('Behovsmodell (75p)'!$B$62)/12</f>
        <v>7129.91666666667</v>
      </c>
    </row>
    <row r="732" customFormat="false" ht="15" hidden="false" customHeight="true" outlineLevel="0" collapsed="false">
      <c r="A732" s="11" t="s">
        <v>1518</v>
      </c>
      <c r="B732" s="11"/>
      <c r="C732" s="11" t="s">
        <v>339</v>
      </c>
      <c r="D732" s="11" t="s">
        <v>352</v>
      </c>
      <c r="E732" s="11"/>
      <c r="F732" s="11"/>
      <c r="G732" s="11" t="s">
        <v>84</v>
      </c>
      <c r="H732" s="11"/>
      <c r="I732" s="11"/>
      <c r="J732" s="11" t="s">
        <v>343</v>
      </c>
      <c r="K732" s="1" t="s">
        <v>1519</v>
      </c>
      <c r="L732" s="1" t="s">
        <v>1520</v>
      </c>
      <c r="M732" s="1" t="s">
        <v>1521</v>
      </c>
      <c r="N732" s="1" t="s">
        <v>1522</v>
      </c>
      <c r="O732" s="1" t="n">
        <f aca="false">'Behovsmodell (75p)'!$B$68</f>
        <v>330040.65</v>
      </c>
      <c r="P732" s="1" t="n">
        <f aca="false">('Behovsmodell (75p)'!$B$68)/12</f>
        <v>27503.3875</v>
      </c>
    </row>
    <row r="733" customFormat="false" ht="15" hidden="false" customHeight="true" outlineLevel="0" collapsed="false">
      <c r="A733" s="11" t="s">
        <v>1523</v>
      </c>
      <c r="B733" s="11"/>
      <c r="C733" s="11" t="s">
        <v>361</v>
      </c>
      <c r="D733" s="11" t="s">
        <v>347</v>
      </c>
      <c r="E733" s="11" t="s">
        <v>356</v>
      </c>
      <c r="F733" s="11" t="s">
        <v>358</v>
      </c>
      <c r="G733" s="11" t="s">
        <v>31</v>
      </c>
      <c r="H733" s="11"/>
      <c r="I733" s="11"/>
      <c r="J733" s="11" t="s">
        <v>343</v>
      </c>
      <c r="O733" s="1" t="n">
        <f aca="false">'Behovsmodell (75p)'!$B$62</f>
        <v>85559</v>
      </c>
      <c r="P733" s="1" t="n">
        <f aca="false">('Behovsmodell (75p)'!$B$62)/12</f>
        <v>7129.91666666667</v>
      </c>
    </row>
    <row r="734" customFormat="false" ht="15" hidden="false" customHeight="true" outlineLevel="0" collapsed="false">
      <c r="A734" s="11" t="s">
        <v>1524</v>
      </c>
      <c r="B734" s="11"/>
      <c r="C734" s="11" t="s">
        <v>339</v>
      </c>
      <c r="D734" s="11" t="s">
        <v>347</v>
      </c>
      <c r="E734" s="11" t="s">
        <v>356</v>
      </c>
      <c r="F734" s="11"/>
      <c r="G734" s="11" t="s">
        <v>31</v>
      </c>
      <c r="H734" s="11"/>
      <c r="I734" s="11"/>
      <c r="J734" s="11" t="s">
        <v>343</v>
      </c>
      <c r="O734" s="1" t="n">
        <f aca="false">'Behovsmodell (75p)'!$B$62</f>
        <v>85559</v>
      </c>
      <c r="P734" s="1" t="n">
        <f aca="false">('Behovsmodell (75p)'!$B$62)/12</f>
        <v>7129.91666666667</v>
      </c>
    </row>
    <row r="735" customFormat="false" ht="15" hidden="false" customHeight="true" outlineLevel="0" collapsed="false">
      <c r="A735" s="11" t="s">
        <v>1524</v>
      </c>
      <c r="B735" s="11"/>
      <c r="C735" s="11" t="s">
        <v>361</v>
      </c>
      <c r="D735" s="11"/>
      <c r="E735" s="11" t="s">
        <v>356</v>
      </c>
      <c r="F735" s="11"/>
      <c r="G735" s="11"/>
      <c r="H735" s="11"/>
      <c r="I735" s="11"/>
      <c r="J735" s="11" t="s">
        <v>343</v>
      </c>
    </row>
    <row r="736" customFormat="false" ht="15" hidden="false" customHeight="true" outlineLevel="0" collapsed="false">
      <c r="A736" s="11" t="s">
        <v>1525</v>
      </c>
      <c r="B736" s="11"/>
      <c r="C736" s="11" t="s">
        <v>339</v>
      </c>
      <c r="D736" s="11"/>
      <c r="E736" s="11" t="s">
        <v>356</v>
      </c>
      <c r="F736" s="11" t="s">
        <v>358</v>
      </c>
      <c r="G736" s="11"/>
      <c r="H736" s="11"/>
      <c r="I736" s="11"/>
      <c r="J736" s="11" t="s">
        <v>343</v>
      </c>
    </row>
    <row r="737" customFormat="false" ht="15" hidden="false" customHeight="true" outlineLevel="0" collapsed="false">
      <c r="A737" s="11" t="s">
        <v>1526</v>
      </c>
      <c r="B737" s="11"/>
      <c r="C737" s="11" t="s">
        <v>355</v>
      </c>
      <c r="D737" s="11" t="s">
        <v>366</v>
      </c>
      <c r="E737" s="11" t="s">
        <v>341</v>
      </c>
      <c r="F737" s="11"/>
      <c r="G737" s="11"/>
      <c r="H737" s="11" t="s">
        <v>366</v>
      </c>
      <c r="I737" s="11"/>
      <c r="J737" s="11" t="s">
        <v>343</v>
      </c>
    </row>
    <row r="738" customFormat="false" ht="15" hidden="false" customHeight="true" outlineLevel="0" collapsed="false">
      <c r="A738" s="11" t="s">
        <v>1526</v>
      </c>
      <c r="B738" s="11"/>
      <c r="C738" s="11" t="s">
        <v>339</v>
      </c>
      <c r="D738" s="11" t="s">
        <v>366</v>
      </c>
      <c r="E738" s="11" t="s">
        <v>341</v>
      </c>
      <c r="F738" s="11"/>
      <c r="G738" s="11"/>
      <c r="H738" s="11" t="s">
        <v>366</v>
      </c>
      <c r="I738" s="11"/>
      <c r="J738" s="11" t="s">
        <v>343</v>
      </c>
    </row>
    <row r="739" customFormat="false" ht="15" hidden="false" customHeight="true" outlineLevel="0" collapsed="false">
      <c r="A739" s="11" t="s">
        <v>1527</v>
      </c>
      <c r="B739" s="11" t="s">
        <v>1079</v>
      </c>
      <c r="C739" s="11" t="s">
        <v>536</v>
      </c>
      <c r="D739" s="11"/>
      <c r="E739" s="11" t="s">
        <v>356</v>
      </c>
      <c r="F739" s="11" t="s">
        <v>971</v>
      </c>
      <c r="G739" s="11"/>
      <c r="H739" s="11"/>
      <c r="I739" s="11"/>
      <c r="J739" s="11" t="s">
        <v>343</v>
      </c>
    </row>
    <row r="740" customFormat="false" ht="15" hidden="false" customHeight="true" outlineLevel="0" collapsed="false">
      <c r="A740" s="11" t="s">
        <v>1528</v>
      </c>
      <c r="B740" s="11" t="s">
        <v>666</v>
      </c>
      <c r="C740" s="11" t="s">
        <v>414</v>
      </c>
      <c r="D740" s="11" t="s">
        <v>1529</v>
      </c>
      <c r="E740" s="11" t="s">
        <v>356</v>
      </c>
      <c r="F740" s="11"/>
      <c r="G740" s="11" t="s">
        <v>1530</v>
      </c>
      <c r="H740" s="11"/>
      <c r="I740" s="11"/>
      <c r="J740" s="11" t="s">
        <v>343</v>
      </c>
      <c r="O740" s="1" t="n">
        <f aca="false">'Behovsmodell (75p)'!$B$62+'Behovsmodell (75p)'!$B$63</f>
        <v>131722.55</v>
      </c>
      <c r="P740" s="1" t="n">
        <f aca="false">('Behovsmodell (75p)'!$B$62+'Behovsmodell (75p)'!$B$63)/12</f>
        <v>10976.8791666667</v>
      </c>
    </row>
    <row r="741" customFormat="false" ht="15" hidden="false" customHeight="true" outlineLevel="0" collapsed="false">
      <c r="A741" s="11" t="s">
        <v>1531</v>
      </c>
      <c r="B741" s="11"/>
      <c r="C741" s="11" t="s">
        <v>355</v>
      </c>
      <c r="D741" s="11"/>
      <c r="E741" s="11" t="s">
        <v>356</v>
      </c>
      <c r="F741" s="11" t="s">
        <v>358</v>
      </c>
      <c r="G741" s="11"/>
      <c r="H741" s="11"/>
      <c r="I741" s="11"/>
      <c r="J741" s="11" t="s">
        <v>343</v>
      </c>
    </row>
    <row r="742" customFormat="false" ht="15" hidden="false" customHeight="true" outlineLevel="0" collapsed="false">
      <c r="A742" s="11" t="s">
        <v>1532</v>
      </c>
      <c r="B742" s="11"/>
      <c r="C742" s="11" t="s">
        <v>355</v>
      </c>
      <c r="D742" s="11"/>
      <c r="E742" s="11" t="s">
        <v>356</v>
      </c>
      <c r="F742" s="11" t="s">
        <v>358</v>
      </c>
      <c r="G742" s="11"/>
      <c r="H742" s="11"/>
      <c r="I742" s="11"/>
      <c r="J742" s="11" t="s">
        <v>343</v>
      </c>
    </row>
    <row r="743" customFormat="false" ht="15" hidden="false" customHeight="true" outlineLevel="0" collapsed="false">
      <c r="A743" s="11" t="s">
        <v>1533</v>
      </c>
      <c r="B743" s="11" t="s">
        <v>550</v>
      </c>
      <c r="C743" s="11" t="s">
        <v>355</v>
      </c>
      <c r="D743" s="11" t="s">
        <v>347</v>
      </c>
      <c r="E743" s="11"/>
      <c r="F743" s="11" t="s">
        <v>358</v>
      </c>
      <c r="G743" s="11" t="s">
        <v>31</v>
      </c>
      <c r="H743" s="11"/>
      <c r="I743" s="11"/>
      <c r="J743" s="11" t="s">
        <v>343</v>
      </c>
      <c r="O743" s="1" t="n">
        <f aca="false">'Behovsmodell (75p)'!$B$62</f>
        <v>85559</v>
      </c>
      <c r="P743" s="1" t="n">
        <f aca="false">('Behovsmodell (75p)'!$B$62)/12</f>
        <v>7129.91666666667</v>
      </c>
    </row>
    <row r="744" customFormat="false" ht="15" hidden="false" customHeight="true" outlineLevel="0" collapsed="false">
      <c r="A744" s="11" t="s">
        <v>214</v>
      </c>
      <c r="B744" s="11" t="s">
        <v>433</v>
      </c>
      <c r="C744" s="11" t="s">
        <v>346</v>
      </c>
      <c r="D744" s="11" t="s">
        <v>352</v>
      </c>
      <c r="E744" s="11"/>
      <c r="F744" s="11" t="s">
        <v>559</v>
      </c>
      <c r="G744" s="11" t="s">
        <v>84</v>
      </c>
      <c r="H744" s="11"/>
      <c r="I744" s="11"/>
      <c r="J744" s="11" t="s">
        <v>343</v>
      </c>
      <c r="K744" s="1" t="s">
        <v>1534</v>
      </c>
      <c r="L744" s="1" t="s">
        <v>1535</v>
      </c>
      <c r="N744" s="1" t="s">
        <v>1536</v>
      </c>
      <c r="O744" s="1" t="n">
        <f aca="false">'Behovsmodell (75p)'!$B$68</f>
        <v>330040.65</v>
      </c>
      <c r="P744" s="1" t="n">
        <f aca="false">('Behovsmodell (75p)'!$B$68)/12</f>
        <v>27503.3875</v>
      </c>
    </row>
    <row r="745" customFormat="false" ht="15" hidden="false" customHeight="true" outlineLevel="0" collapsed="false">
      <c r="A745" s="11" t="s">
        <v>214</v>
      </c>
      <c r="B745" s="11"/>
      <c r="C745" s="11" t="s">
        <v>355</v>
      </c>
      <c r="D745" s="11" t="s">
        <v>352</v>
      </c>
      <c r="E745" s="11"/>
      <c r="F745" s="11" t="s">
        <v>559</v>
      </c>
      <c r="G745" s="11" t="s">
        <v>84</v>
      </c>
      <c r="H745" s="11"/>
      <c r="I745" s="11"/>
      <c r="J745" s="11" t="s">
        <v>343</v>
      </c>
      <c r="K745" s="1" t="s">
        <v>1534</v>
      </c>
      <c r="L745" s="1" t="s">
        <v>1535</v>
      </c>
      <c r="N745" s="1" t="s">
        <v>1536</v>
      </c>
      <c r="O745" s="1" t="n">
        <f aca="false">'Behovsmodell (75p)'!$B$68</f>
        <v>330040.65</v>
      </c>
      <c r="P745" s="1" t="n">
        <f aca="false">('Behovsmodell (75p)'!$B$68)/12</f>
        <v>27503.3875</v>
      </c>
    </row>
    <row r="746" customFormat="false" ht="15" hidden="false" customHeight="true" outlineLevel="0" collapsed="false">
      <c r="A746" s="11" t="s">
        <v>1537</v>
      </c>
      <c r="B746" s="11" t="s">
        <v>446</v>
      </c>
      <c r="C746" s="11" t="s">
        <v>346</v>
      </c>
      <c r="D746" s="11" t="s">
        <v>352</v>
      </c>
      <c r="E746" s="11" t="s">
        <v>356</v>
      </c>
      <c r="F746" s="11" t="s">
        <v>358</v>
      </c>
      <c r="G746" s="11" t="s">
        <v>84</v>
      </c>
      <c r="H746" s="11"/>
      <c r="I746" s="11"/>
      <c r="J746" s="11" t="s">
        <v>343</v>
      </c>
      <c r="K746" s="1" t="s">
        <v>1538</v>
      </c>
      <c r="L746" s="1" t="s">
        <v>1539</v>
      </c>
      <c r="M746" s="1" t="s">
        <v>1540</v>
      </c>
      <c r="N746" s="1" t="s">
        <v>1541</v>
      </c>
      <c r="O746" s="1" t="n">
        <f aca="false">'Behovsmodell (75p)'!$B$68</f>
        <v>330040.65</v>
      </c>
      <c r="P746" s="1" t="n">
        <f aca="false">('Behovsmodell (75p)'!$B$68)/12</f>
        <v>27503.3875</v>
      </c>
    </row>
    <row r="747" customFormat="false" ht="15" hidden="false" customHeight="true" outlineLevel="0" collapsed="false">
      <c r="A747" s="11" t="s">
        <v>1542</v>
      </c>
      <c r="B747" s="11"/>
      <c r="C747" s="11" t="s">
        <v>339</v>
      </c>
      <c r="D747" s="11" t="s">
        <v>352</v>
      </c>
      <c r="E747" s="11" t="s">
        <v>356</v>
      </c>
      <c r="F747" s="11" t="s">
        <v>702</v>
      </c>
      <c r="G747" s="11" t="s">
        <v>84</v>
      </c>
      <c r="H747" s="11"/>
      <c r="I747" s="11"/>
      <c r="J747" s="11" t="s">
        <v>343</v>
      </c>
      <c r="K747" s="1" t="s">
        <v>1543</v>
      </c>
      <c r="L747" s="1" t="s">
        <v>1544</v>
      </c>
      <c r="M747" s="1" t="s">
        <v>1545</v>
      </c>
      <c r="N747" s="1" t="s">
        <v>1546</v>
      </c>
      <c r="O747" s="1" t="n">
        <f aca="false">'Behovsmodell (75p)'!$B$68</f>
        <v>330040.65</v>
      </c>
      <c r="P747" s="1" t="n">
        <f aca="false">('Behovsmodell (75p)'!$B$68)/12</f>
        <v>27503.3875</v>
      </c>
    </row>
    <row r="748" customFormat="false" ht="15" hidden="false" customHeight="true" outlineLevel="0" collapsed="false">
      <c r="A748" s="11" t="s">
        <v>1547</v>
      </c>
      <c r="B748" s="11"/>
      <c r="C748" s="11" t="s">
        <v>355</v>
      </c>
      <c r="D748" s="11"/>
      <c r="E748" s="11" t="s">
        <v>356</v>
      </c>
      <c r="F748" s="11" t="s">
        <v>358</v>
      </c>
      <c r="G748" s="11"/>
      <c r="H748" s="11"/>
      <c r="I748" s="11"/>
      <c r="J748" s="11" t="s">
        <v>343</v>
      </c>
      <c r="K748" s="1" t="s">
        <v>1548</v>
      </c>
      <c r="L748" s="1" t="s">
        <v>1549</v>
      </c>
      <c r="M748" s="1" t="s">
        <v>1550</v>
      </c>
      <c r="N748" s="1" t="s">
        <v>1551</v>
      </c>
    </row>
    <row r="749" customFormat="false" ht="15" hidden="false" customHeight="true" outlineLevel="0" collapsed="false">
      <c r="A749" s="11" t="s">
        <v>1552</v>
      </c>
      <c r="B749" s="11"/>
      <c r="C749" s="11" t="s">
        <v>355</v>
      </c>
      <c r="D749" s="11" t="s">
        <v>375</v>
      </c>
      <c r="E749" s="11" t="s">
        <v>356</v>
      </c>
      <c r="F749" s="11" t="s">
        <v>478</v>
      </c>
      <c r="G749" s="11" t="s">
        <v>68</v>
      </c>
      <c r="H749" s="11"/>
      <c r="I749" s="11"/>
      <c r="J749" s="11" t="s">
        <v>343</v>
      </c>
      <c r="O749" s="1" t="n">
        <f aca="false">'Behovsmodell (75p)'!$B$66</f>
        <v>206427.05</v>
      </c>
      <c r="P749" s="1" t="n">
        <f aca="false">('Behovsmodell (75p)'!$B$66)/12</f>
        <v>17202.2541666667</v>
      </c>
    </row>
    <row r="750" customFormat="false" ht="15" hidden="false" customHeight="true" outlineLevel="0" collapsed="false">
      <c r="A750" s="11" t="s">
        <v>1553</v>
      </c>
      <c r="B750" s="11"/>
      <c r="C750" s="11" t="s">
        <v>339</v>
      </c>
      <c r="D750" s="11" t="s">
        <v>395</v>
      </c>
      <c r="E750" s="11" t="s">
        <v>396</v>
      </c>
      <c r="F750" s="11" t="s">
        <v>358</v>
      </c>
      <c r="G750" s="11" t="s">
        <v>129</v>
      </c>
      <c r="H750" s="11"/>
      <c r="I750" s="11"/>
      <c r="J750" s="11" t="s">
        <v>343</v>
      </c>
      <c r="O750" s="1" t="n">
        <f aca="false">'Behovsmodell (75p)'!$B$76</f>
        <v>111099</v>
      </c>
      <c r="P750" s="1" t="n">
        <f aca="false">('Behovsmodell (75p)'!$B$76)/12</f>
        <v>9258.25</v>
      </c>
    </row>
    <row r="751" customFormat="false" ht="15" hidden="false" customHeight="true" outlineLevel="0" collapsed="false">
      <c r="A751" s="11" t="s">
        <v>1554</v>
      </c>
      <c r="B751" s="11" t="s">
        <v>403</v>
      </c>
      <c r="C751" s="11" t="s">
        <v>403</v>
      </c>
      <c r="D751" s="11"/>
      <c r="E751" s="11" t="s">
        <v>396</v>
      </c>
      <c r="F751" s="11" t="s">
        <v>559</v>
      </c>
      <c r="G751" s="11"/>
      <c r="H751" s="11"/>
      <c r="I751" s="11"/>
      <c r="J751" s="11" t="s">
        <v>343</v>
      </c>
    </row>
    <row r="752" customFormat="false" ht="15" hidden="false" customHeight="true" outlineLevel="0" collapsed="false">
      <c r="A752" s="11" t="s">
        <v>1555</v>
      </c>
      <c r="B752" s="11"/>
      <c r="C752" s="11" t="s">
        <v>339</v>
      </c>
      <c r="D752" s="11" t="s">
        <v>352</v>
      </c>
      <c r="E752" s="11"/>
      <c r="F752" s="11" t="s">
        <v>362</v>
      </c>
      <c r="G752" s="11" t="s">
        <v>84</v>
      </c>
      <c r="H752" s="11"/>
      <c r="I752" s="11"/>
      <c r="J752" s="11" t="s">
        <v>343</v>
      </c>
      <c r="O752" s="1" t="n">
        <f aca="false">'Behovsmodell (75p)'!$B$68</f>
        <v>330040.65</v>
      </c>
      <c r="P752" s="1" t="n">
        <f aca="false">('Behovsmodell (75p)'!$B$68)/12</f>
        <v>27503.3875</v>
      </c>
    </row>
    <row r="753" customFormat="false" ht="15" hidden="false" customHeight="true" outlineLevel="0" collapsed="false">
      <c r="A753" s="11" t="s">
        <v>1556</v>
      </c>
      <c r="B753" s="11" t="s">
        <v>437</v>
      </c>
      <c r="C753" s="11" t="s">
        <v>361</v>
      </c>
      <c r="D753" s="11"/>
      <c r="E753" s="11" t="s">
        <v>396</v>
      </c>
      <c r="F753" s="11" t="s">
        <v>542</v>
      </c>
      <c r="G753" s="11"/>
      <c r="H753" s="11"/>
      <c r="I753" s="11"/>
      <c r="J753" s="11" t="s">
        <v>343</v>
      </c>
    </row>
    <row r="754" customFormat="false" ht="15" hidden="false" customHeight="true" outlineLevel="0" collapsed="false">
      <c r="A754" s="11" t="s">
        <v>1557</v>
      </c>
      <c r="B754" s="11" t="s">
        <v>424</v>
      </c>
      <c r="C754" s="11" t="s">
        <v>339</v>
      </c>
      <c r="D754" s="11"/>
      <c r="E754" s="11"/>
      <c r="F754" s="11" t="s">
        <v>416</v>
      </c>
      <c r="G754" s="11"/>
      <c r="H754" s="11"/>
      <c r="I754" s="11"/>
      <c r="J754" s="11" t="s">
        <v>343</v>
      </c>
    </row>
    <row r="755" customFormat="false" ht="15" hidden="false" customHeight="true" outlineLevel="0" collapsed="false">
      <c r="A755" s="11" t="s">
        <v>1558</v>
      </c>
      <c r="B755" s="11" t="s">
        <v>338</v>
      </c>
      <c r="C755" s="11" t="s">
        <v>339</v>
      </c>
      <c r="D755" s="11" t="s">
        <v>375</v>
      </c>
      <c r="E755" s="11" t="s">
        <v>356</v>
      </c>
      <c r="F755" s="11" t="s">
        <v>656</v>
      </c>
      <c r="G755" s="11" t="s">
        <v>68</v>
      </c>
      <c r="H755" s="11"/>
      <c r="I755" s="11"/>
      <c r="J755" s="11" t="s">
        <v>343</v>
      </c>
      <c r="K755" s="1" t="s">
        <v>1559</v>
      </c>
      <c r="L755" s="1" t="s">
        <v>1560</v>
      </c>
      <c r="N755" s="1" t="s">
        <v>1561</v>
      </c>
      <c r="O755" s="1" t="n">
        <f aca="false">'Behovsmodell (75p)'!$B$66</f>
        <v>206427.05</v>
      </c>
      <c r="P755" s="1" t="n">
        <f aca="false">('Behovsmodell (75p)'!$B$66)/12</f>
        <v>17202.2541666667</v>
      </c>
    </row>
    <row r="756" customFormat="false" ht="15" hidden="false" customHeight="true" outlineLevel="0" collapsed="false">
      <c r="A756" s="11" t="s">
        <v>1562</v>
      </c>
      <c r="B756" s="11" t="s">
        <v>380</v>
      </c>
      <c r="C756" s="11" t="s">
        <v>381</v>
      </c>
      <c r="D756" s="11" t="s">
        <v>340</v>
      </c>
      <c r="E756" s="11" t="s">
        <v>341</v>
      </c>
      <c r="F756" s="11"/>
      <c r="G756" s="11"/>
      <c r="H756" s="11" t="s">
        <v>340</v>
      </c>
      <c r="I756" s="11"/>
      <c r="J756" s="11" t="s">
        <v>343</v>
      </c>
    </row>
    <row r="757" customFormat="false" ht="15" hidden="false" customHeight="true" outlineLevel="0" collapsed="false">
      <c r="A757" s="11" t="s">
        <v>1563</v>
      </c>
      <c r="B757" s="11" t="s">
        <v>744</v>
      </c>
      <c r="C757" s="11" t="s">
        <v>355</v>
      </c>
      <c r="D757" s="11" t="s">
        <v>347</v>
      </c>
      <c r="E757" s="11" t="s">
        <v>356</v>
      </c>
      <c r="F757" s="11" t="s">
        <v>362</v>
      </c>
      <c r="G757" s="11" t="s">
        <v>31</v>
      </c>
      <c r="H757" s="11"/>
      <c r="I757" s="11"/>
      <c r="J757" s="11" t="s">
        <v>343</v>
      </c>
      <c r="O757" s="1" t="n">
        <f aca="false">'Behovsmodell (75p)'!$B$62</f>
        <v>85559</v>
      </c>
      <c r="P757" s="1" t="n">
        <f aca="false">('Behovsmodell (75p)'!$B$62)/12</f>
        <v>7129.91666666667</v>
      </c>
    </row>
    <row r="758" customFormat="false" ht="15" hidden="false" customHeight="true" outlineLevel="0" collapsed="false">
      <c r="A758" s="11" t="s">
        <v>1564</v>
      </c>
      <c r="B758" s="11" t="s">
        <v>668</v>
      </c>
      <c r="C758" s="11" t="s">
        <v>355</v>
      </c>
      <c r="D758" s="11" t="s">
        <v>347</v>
      </c>
      <c r="E758" s="11" t="s">
        <v>396</v>
      </c>
      <c r="F758" s="11" t="s">
        <v>1565</v>
      </c>
      <c r="G758" s="11" t="s">
        <v>31</v>
      </c>
      <c r="H758" s="11"/>
      <c r="I758" s="11"/>
      <c r="J758" s="11" t="s">
        <v>343</v>
      </c>
      <c r="O758" s="1" t="n">
        <f aca="false">'Behovsmodell (75p)'!$B$62</f>
        <v>85559</v>
      </c>
      <c r="P758" s="1" t="n">
        <f aca="false">('Behovsmodell (75p)'!$B$62)/12</f>
        <v>7129.91666666667</v>
      </c>
    </row>
    <row r="759" customFormat="false" ht="15" hidden="false" customHeight="true" outlineLevel="0" collapsed="false">
      <c r="A759" s="11" t="s">
        <v>1566</v>
      </c>
      <c r="B759" s="11"/>
      <c r="C759" s="11" t="s">
        <v>361</v>
      </c>
      <c r="D759" s="11" t="s">
        <v>347</v>
      </c>
      <c r="E759" s="11"/>
      <c r="F759" s="11" t="s">
        <v>559</v>
      </c>
      <c r="G759" s="11" t="s">
        <v>31</v>
      </c>
      <c r="H759" s="11"/>
      <c r="I759" s="11"/>
      <c r="J759" s="11" t="s">
        <v>343</v>
      </c>
      <c r="O759" s="1" t="n">
        <f aca="false">'Behovsmodell (75p)'!$B$62</f>
        <v>85559</v>
      </c>
      <c r="P759" s="1" t="n">
        <f aca="false">('Behovsmodell (75p)'!$B$62)/12</f>
        <v>7129.91666666667</v>
      </c>
    </row>
    <row r="760" customFormat="false" ht="15" hidden="false" customHeight="true" outlineLevel="0" collapsed="false">
      <c r="A760" s="11" t="s">
        <v>1567</v>
      </c>
      <c r="B760" s="11"/>
      <c r="C760" s="11" t="s">
        <v>355</v>
      </c>
      <c r="D760" s="11"/>
      <c r="E760" s="11" t="s">
        <v>396</v>
      </c>
      <c r="F760" s="11" t="s">
        <v>971</v>
      </c>
      <c r="G760" s="11"/>
      <c r="H760" s="11"/>
      <c r="I760" s="11"/>
      <c r="J760" s="11" t="s">
        <v>343</v>
      </c>
    </row>
    <row r="761" customFormat="false" ht="15" hidden="false" customHeight="true" outlineLevel="0" collapsed="false">
      <c r="A761" s="11" t="s">
        <v>1568</v>
      </c>
      <c r="B761" s="11" t="s">
        <v>1054</v>
      </c>
      <c r="C761" s="11" t="s">
        <v>414</v>
      </c>
      <c r="D761" s="11"/>
      <c r="E761" s="11" t="s">
        <v>356</v>
      </c>
      <c r="F761" s="11" t="s">
        <v>358</v>
      </c>
      <c r="G761" s="11"/>
      <c r="H761" s="11"/>
      <c r="I761" s="11"/>
      <c r="J761" s="11" t="s">
        <v>343</v>
      </c>
    </row>
    <row r="762" customFormat="false" ht="15" hidden="false" customHeight="true" outlineLevel="0" collapsed="false">
      <c r="A762" s="11" t="s">
        <v>1569</v>
      </c>
      <c r="B762" s="11" t="s">
        <v>536</v>
      </c>
      <c r="C762" s="11" t="s">
        <v>536</v>
      </c>
      <c r="D762" s="11" t="s">
        <v>340</v>
      </c>
      <c r="E762" s="11" t="s">
        <v>341</v>
      </c>
      <c r="F762" s="11"/>
      <c r="G762" s="11"/>
      <c r="H762" s="11" t="s">
        <v>340</v>
      </c>
      <c r="I762" s="11"/>
      <c r="J762" s="11" t="s">
        <v>343</v>
      </c>
    </row>
    <row r="763" customFormat="false" ht="15" hidden="false" customHeight="true" outlineLevel="0" collapsed="false">
      <c r="A763" s="11" t="s">
        <v>1570</v>
      </c>
      <c r="B763" s="11" t="s">
        <v>350</v>
      </c>
      <c r="C763" s="11" t="s">
        <v>351</v>
      </c>
      <c r="D763" s="11"/>
      <c r="E763" s="11" t="s">
        <v>356</v>
      </c>
      <c r="F763" s="11"/>
      <c r="G763" s="11"/>
      <c r="H763" s="11"/>
      <c r="I763" s="11"/>
      <c r="J763" s="11" t="s">
        <v>343</v>
      </c>
    </row>
    <row r="764" customFormat="false" ht="15" hidden="false" customHeight="true" outlineLevel="0" collapsed="false">
      <c r="A764" s="11" t="s">
        <v>1571</v>
      </c>
      <c r="B764" s="11" t="s">
        <v>506</v>
      </c>
      <c r="C764" s="11" t="s">
        <v>414</v>
      </c>
      <c r="D764" s="11" t="s">
        <v>347</v>
      </c>
      <c r="E764" s="11" t="s">
        <v>356</v>
      </c>
      <c r="F764" s="11" t="s">
        <v>353</v>
      </c>
      <c r="G764" s="11" t="s">
        <v>31</v>
      </c>
      <c r="H764" s="11"/>
      <c r="I764" s="11"/>
      <c r="J764" s="11" t="s">
        <v>343</v>
      </c>
      <c r="O764" s="1" t="n">
        <f aca="false">'Behovsmodell (75p)'!$B$62</f>
        <v>85559</v>
      </c>
      <c r="P764" s="1" t="n">
        <f aca="false">('Behovsmodell (75p)'!$B$62)/12</f>
        <v>7129.91666666667</v>
      </c>
    </row>
    <row r="765" customFormat="false" ht="15" hidden="false" customHeight="true" outlineLevel="0" collapsed="false">
      <c r="A765" s="11" t="s">
        <v>1572</v>
      </c>
      <c r="B765" s="11" t="s">
        <v>536</v>
      </c>
      <c r="C765" s="11" t="s">
        <v>536</v>
      </c>
      <c r="D765" s="11"/>
      <c r="E765" s="11"/>
      <c r="F765" s="11" t="s">
        <v>1359</v>
      </c>
      <c r="G765" s="11"/>
      <c r="H765" s="11"/>
      <c r="I765" s="11"/>
      <c r="J765" s="11" t="s">
        <v>343</v>
      </c>
    </row>
    <row r="766" customFormat="false" ht="15" hidden="false" customHeight="true" outlineLevel="0" collapsed="false">
      <c r="A766" s="11" t="s">
        <v>1573</v>
      </c>
      <c r="B766" s="11"/>
      <c r="C766" s="11" t="s">
        <v>339</v>
      </c>
      <c r="D766" s="11"/>
      <c r="E766" s="11" t="s">
        <v>356</v>
      </c>
      <c r="F766" s="11"/>
      <c r="G766" s="11"/>
      <c r="H766" s="11"/>
      <c r="I766" s="11"/>
      <c r="J766" s="11" t="s">
        <v>343</v>
      </c>
    </row>
    <row r="767" customFormat="false" ht="15" hidden="false" customHeight="true" outlineLevel="0" collapsed="false">
      <c r="A767" s="11" t="s">
        <v>1574</v>
      </c>
      <c r="B767" s="11" t="s">
        <v>1311</v>
      </c>
      <c r="C767" s="11" t="s">
        <v>355</v>
      </c>
      <c r="D767" s="11" t="s">
        <v>366</v>
      </c>
      <c r="E767" s="11" t="s">
        <v>341</v>
      </c>
      <c r="F767" s="11"/>
      <c r="G767" s="11"/>
      <c r="H767" s="11" t="s">
        <v>366</v>
      </c>
      <c r="I767" s="11"/>
      <c r="J767" s="11" t="s">
        <v>343</v>
      </c>
      <c r="K767" s="1" t="s">
        <v>1575</v>
      </c>
      <c r="L767" s="1" t="s">
        <v>1576</v>
      </c>
      <c r="M767" s="1" t="s">
        <v>1577</v>
      </c>
      <c r="N767" s="1" t="s">
        <v>1578</v>
      </c>
    </row>
    <row r="768" customFormat="false" ht="15" hidden="false" customHeight="true" outlineLevel="0" collapsed="false">
      <c r="A768" s="11" t="s">
        <v>1579</v>
      </c>
      <c r="B768" s="11" t="s">
        <v>449</v>
      </c>
      <c r="C768" s="11" t="s">
        <v>245</v>
      </c>
      <c r="D768" s="11" t="s">
        <v>347</v>
      </c>
      <c r="E768" s="11"/>
      <c r="F768" s="11"/>
      <c r="G768" s="11" t="s">
        <v>31</v>
      </c>
      <c r="H768" s="11"/>
      <c r="I768" s="11"/>
      <c r="J768" s="11" t="s">
        <v>343</v>
      </c>
      <c r="O768" s="1" t="n">
        <f aca="false">'Behovsmodell (75p)'!$B$62</f>
        <v>85559</v>
      </c>
      <c r="P768" s="1" t="n">
        <f aca="false">('Behovsmodell (75p)'!$B$62)/12</f>
        <v>7129.91666666667</v>
      </c>
    </row>
    <row r="769" customFormat="false" ht="15" hidden="false" customHeight="true" outlineLevel="0" collapsed="false">
      <c r="A769" s="11" t="s">
        <v>1580</v>
      </c>
      <c r="B769" s="11" t="s">
        <v>666</v>
      </c>
      <c r="C769" s="11" t="s">
        <v>414</v>
      </c>
      <c r="D769" s="11"/>
      <c r="E769" s="11" t="s">
        <v>356</v>
      </c>
      <c r="F769" s="11" t="s">
        <v>353</v>
      </c>
      <c r="G769" s="11"/>
      <c r="H769" s="11"/>
      <c r="I769" s="11"/>
      <c r="J769" s="11" t="s">
        <v>343</v>
      </c>
      <c r="N769" s="1" t="s">
        <v>1581</v>
      </c>
    </row>
    <row r="770" customFormat="false" ht="15" hidden="false" customHeight="true" outlineLevel="0" collapsed="false">
      <c r="A770" s="11" t="s">
        <v>1582</v>
      </c>
      <c r="B770" s="11"/>
      <c r="C770" s="11" t="s">
        <v>346</v>
      </c>
      <c r="D770" s="11" t="s">
        <v>395</v>
      </c>
      <c r="E770" s="11" t="s">
        <v>396</v>
      </c>
      <c r="F770" s="11" t="s">
        <v>478</v>
      </c>
      <c r="G770" s="11" t="s">
        <v>129</v>
      </c>
      <c r="H770" s="11"/>
      <c r="I770" s="11"/>
      <c r="J770" s="11" t="s">
        <v>343</v>
      </c>
      <c r="O770" s="1" t="n">
        <f aca="false">'Behovsmodell (75p)'!$B$76</f>
        <v>111099</v>
      </c>
      <c r="P770" s="1" t="n">
        <f aca="false">('Behovsmodell (75p)'!$B$76)/12</f>
        <v>9258.25</v>
      </c>
    </row>
    <row r="771" customFormat="false" ht="15" hidden="false" customHeight="true" outlineLevel="0" collapsed="false">
      <c r="A771" s="11" t="s">
        <v>1583</v>
      </c>
      <c r="B771" s="11"/>
      <c r="C771" s="11" t="s">
        <v>351</v>
      </c>
      <c r="D771" s="11"/>
      <c r="E771" s="11" t="s">
        <v>356</v>
      </c>
      <c r="F771" s="11" t="s">
        <v>1584</v>
      </c>
      <c r="G771" s="11"/>
      <c r="H771" s="11"/>
      <c r="I771" s="11"/>
      <c r="J771" s="11" t="s">
        <v>343</v>
      </c>
      <c r="K771" s="1" t="s">
        <v>1585</v>
      </c>
      <c r="L771" s="1" t="s">
        <v>1586</v>
      </c>
      <c r="N771" s="1" t="s">
        <v>1587</v>
      </c>
    </row>
    <row r="772" customFormat="false" ht="15" hidden="false" customHeight="true" outlineLevel="0" collapsed="false">
      <c r="A772" s="11" t="s">
        <v>1583</v>
      </c>
      <c r="B772" s="11"/>
      <c r="C772" s="11" t="s">
        <v>403</v>
      </c>
      <c r="D772" s="11"/>
      <c r="E772" s="11" t="s">
        <v>396</v>
      </c>
      <c r="F772" s="11" t="s">
        <v>1584</v>
      </c>
      <c r="G772" s="11"/>
      <c r="H772" s="11"/>
      <c r="I772" s="11"/>
      <c r="J772" s="11" t="s">
        <v>343</v>
      </c>
      <c r="K772" s="1" t="s">
        <v>1585</v>
      </c>
      <c r="L772" s="1" t="s">
        <v>1586</v>
      </c>
      <c r="N772" s="1" t="s">
        <v>1587</v>
      </c>
    </row>
    <row r="773" customFormat="false" ht="15" hidden="false" customHeight="true" outlineLevel="0" collapsed="false">
      <c r="A773" s="11" t="s">
        <v>1588</v>
      </c>
      <c r="B773" s="11"/>
      <c r="C773" s="11" t="s">
        <v>355</v>
      </c>
      <c r="D773" s="11"/>
      <c r="E773" s="11" t="s">
        <v>356</v>
      </c>
      <c r="F773" s="11"/>
      <c r="G773" s="11"/>
      <c r="H773" s="11"/>
      <c r="I773" s="11"/>
      <c r="J773" s="11" t="s">
        <v>343</v>
      </c>
    </row>
    <row r="774" customFormat="false" ht="15" hidden="false" customHeight="true" outlineLevel="0" collapsed="false">
      <c r="A774" s="11" t="s">
        <v>1589</v>
      </c>
      <c r="B774" s="11"/>
      <c r="C774" s="11" t="s">
        <v>245</v>
      </c>
      <c r="D774" s="11" t="s">
        <v>347</v>
      </c>
      <c r="E774" s="11" t="s">
        <v>356</v>
      </c>
      <c r="F774" s="11"/>
      <c r="G774" s="11" t="s">
        <v>31</v>
      </c>
      <c r="H774" s="11"/>
      <c r="I774" s="11"/>
      <c r="J774" s="11" t="s">
        <v>343</v>
      </c>
      <c r="O774" s="1" t="n">
        <f aca="false">'Behovsmodell (75p)'!$B$62</f>
        <v>85559</v>
      </c>
      <c r="P774" s="1" t="n">
        <f aca="false">('Behovsmodell (75p)'!$B$62)/12</f>
        <v>7129.91666666667</v>
      </c>
    </row>
    <row r="775" customFormat="false" ht="15" hidden="false" customHeight="true" outlineLevel="0" collapsed="false">
      <c r="A775" s="11" t="s">
        <v>1590</v>
      </c>
      <c r="B775" s="11" t="s">
        <v>668</v>
      </c>
      <c r="C775" s="11" t="s">
        <v>355</v>
      </c>
      <c r="D775" s="11" t="s">
        <v>340</v>
      </c>
      <c r="E775" s="11" t="s">
        <v>341</v>
      </c>
      <c r="F775" s="11" t="s">
        <v>559</v>
      </c>
      <c r="G775" s="11"/>
      <c r="H775" s="11" t="s">
        <v>340</v>
      </c>
      <c r="I775" s="11"/>
      <c r="J775" s="11" t="s">
        <v>343</v>
      </c>
    </row>
    <row r="776" customFormat="false" ht="15" hidden="false" customHeight="true" outlineLevel="0" collapsed="false">
      <c r="A776" s="11" t="s">
        <v>1591</v>
      </c>
      <c r="B776" s="11" t="s">
        <v>597</v>
      </c>
      <c r="C776" s="11" t="s">
        <v>597</v>
      </c>
      <c r="D776" s="11" t="s">
        <v>340</v>
      </c>
      <c r="E776" s="11" t="s">
        <v>341</v>
      </c>
      <c r="F776" s="11"/>
      <c r="G776" s="11"/>
      <c r="H776" s="11" t="s">
        <v>340</v>
      </c>
      <c r="I776" s="11"/>
      <c r="J776" s="11" t="s">
        <v>343</v>
      </c>
    </row>
    <row r="777" customFormat="false" ht="15" hidden="false" customHeight="true" outlineLevel="0" collapsed="false">
      <c r="A777" s="11" t="s">
        <v>1592</v>
      </c>
      <c r="B777" s="11" t="s">
        <v>692</v>
      </c>
      <c r="C777" s="11" t="s">
        <v>355</v>
      </c>
      <c r="D777" s="11" t="s">
        <v>340</v>
      </c>
      <c r="E777" s="11" t="s">
        <v>341</v>
      </c>
      <c r="F777" s="11"/>
      <c r="G777" s="11"/>
      <c r="H777" s="11" t="s">
        <v>340</v>
      </c>
      <c r="I777" s="11"/>
      <c r="J777" s="11" t="s">
        <v>343</v>
      </c>
    </row>
    <row r="778" customFormat="false" ht="15" hidden="false" customHeight="true" outlineLevel="0" collapsed="false">
      <c r="A778" s="11" t="s">
        <v>1592</v>
      </c>
      <c r="B778" s="11" t="s">
        <v>338</v>
      </c>
      <c r="C778" s="11" t="s">
        <v>339</v>
      </c>
      <c r="D778" s="11" t="s">
        <v>340</v>
      </c>
      <c r="E778" s="11" t="s">
        <v>341</v>
      </c>
      <c r="F778" s="11"/>
      <c r="G778" s="11"/>
      <c r="H778" s="11" t="s">
        <v>340</v>
      </c>
      <c r="I778" s="11"/>
      <c r="J778" s="11" t="s">
        <v>343</v>
      </c>
    </row>
    <row r="779" customFormat="false" ht="15" hidden="false" customHeight="true" outlineLevel="0" collapsed="false">
      <c r="A779" s="11" t="s">
        <v>1593</v>
      </c>
      <c r="B779" s="11" t="s">
        <v>338</v>
      </c>
      <c r="C779" s="11" t="s">
        <v>339</v>
      </c>
      <c r="D779" s="11" t="s">
        <v>340</v>
      </c>
      <c r="E779" s="11" t="s">
        <v>341</v>
      </c>
      <c r="F779" s="11" t="s">
        <v>358</v>
      </c>
      <c r="G779" s="11"/>
      <c r="H779" s="11" t="s">
        <v>340</v>
      </c>
      <c r="I779" s="11"/>
      <c r="J779" s="11" t="s">
        <v>343</v>
      </c>
    </row>
    <row r="780" customFormat="false" ht="15" hidden="false" customHeight="true" outlineLevel="0" collapsed="false">
      <c r="A780" s="11" t="s">
        <v>1594</v>
      </c>
      <c r="B780" s="11"/>
      <c r="C780" s="11" t="s">
        <v>361</v>
      </c>
      <c r="D780" s="11"/>
      <c r="E780" s="11" t="s">
        <v>356</v>
      </c>
      <c r="F780" s="11" t="s">
        <v>358</v>
      </c>
      <c r="G780" s="11"/>
      <c r="H780" s="11"/>
      <c r="I780" s="11"/>
      <c r="J780" s="11" t="s">
        <v>343</v>
      </c>
      <c r="K780" s="1" t="s">
        <v>1595</v>
      </c>
      <c r="N780" s="1" t="s">
        <v>1596</v>
      </c>
    </row>
    <row r="781" customFormat="false" ht="15" hidden="false" customHeight="true" outlineLevel="0" collapsed="false">
      <c r="A781" s="11" t="s">
        <v>1597</v>
      </c>
      <c r="B781" s="11" t="s">
        <v>449</v>
      </c>
      <c r="C781" s="11" t="s">
        <v>245</v>
      </c>
      <c r="D781" s="11"/>
      <c r="E781" s="11" t="s">
        <v>356</v>
      </c>
      <c r="F781" s="11" t="s">
        <v>358</v>
      </c>
      <c r="G781" s="11"/>
      <c r="H781" s="11"/>
      <c r="I781" s="11"/>
      <c r="J781" s="11" t="s">
        <v>343</v>
      </c>
      <c r="K781" s="1" t="s">
        <v>1598</v>
      </c>
      <c r="L781" s="1" t="s">
        <v>1599</v>
      </c>
      <c r="M781" s="1" t="s">
        <v>1600</v>
      </c>
      <c r="N781" s="1" t="s">
        <v>1601</v>
      </c>
    </row>
    <row r="782" customFormat="false" ht="15" hidden="false" customHeight="true" outlineLevel="0" collapsed="false">
      <c r="A782" s="11" t="s">
        <v>1602</v>
      </c>
      <c r="B782" s="11" t="s">
        <v>926</v>
      </c>
      <c r="C782" s="11" t="s">
        <v>536</v>
      </c>
      <c r="D782" s="11"/>
      <c r="E782" s="11" t="s">
        <v>356</v>
      </c>
      <c r="F782" s="11"/>
      <c r="G782" s="11"/>
      <c r="H782" s="11"/>
      <c r="I782" s="11"/>
      <c r="J782" s="11" t="s">
        <v>343</v>
      </c>
    </row>
    <row r="783" customFormat="false" ht="15" hidden="false" customHeight="true" outlineLevel="0" collapsed="false">
      <c r="A783" s="11" t="s">
        <v>1603</v>
      </c>
      <c r="B783" s="11"/>
      <c r="C783" s="11" t="s">
        <v>245</v>
      </c>
      <c r="D783" s="11"/>
      <c r="E783" s="11" t="s">
        <v>356</v>
      </c>
      <c r="F783" s="11" t="s">
        <v>656</v>
      </c>
      <c r="G783" s="11"/>
      <c r="H783" s="11"/>
      <c r="I783" s="11"/>
      <c r="J783" s="11" t="s">
        <v>343</v>
      </c>
      <c r="K783" s="1" t="s">
        <v>1604</v>
      </c>
      <c r="L783" s="1" t="s">
        <v>1605</v>
      </c>
      <c r="M783" s="1" t="s">
        <v>1606</v>
      </c>
      <c r="N783" s="1" t="s">
        <v>1607</v>
      </c>
    </row>
    <row r="784" customFormat="false" ht="15" hidden="false" customHeight="true" outlineLevel="0" collapsed="false">
      <c r="A784" s="11" t="s">
        <v>1608</v>
      </c>
      <c r="B784" s="11"/>
      <c r="C784" s="11" t="s">
        <v>346</v>
      </c>
      <c r="D784" s="11"/>
      <c r="E784" s="11"/>
      <c r="F784" s="11" t="s">
        <v>447</v>
      </c>
      <c r="G784" s="11"/>
      <c r="H784" s="11"/>
      <c r="I784" s="11"/>
      <c r="J784" s="11" t="s">
        <v>343</v>
      </c>
    </row>
    <row r="785" customFormat="false" ht="15" hidden="false" customHeight="true" outlineLevel="0" collapsed="false">
      <c r="A785" s="11" t="s">
        <v>1609</v>
      </c>
      <c r="B785" s="11" t="s">
        <v>1610</v>
      </c>
      <c r="C785" s="11" t="s">
        <v>381</v>
      </c>
      <c r="D785" s="11"/>
      <c r="E785" s="11" t="s">
        <v>356</v>
      </c>
      <c r="F785" s="11" t="s">
        <v>353</v>
      </c>
      <c r="G785" s="11"/>
      <c r="H785" s="11"/>
      <c r="I785" s="11"/>
      <c r="J785" s="11" t="s">
        <v>343</v>
      </c>
    </row>
    <row r="786" customFormat="false" ht="15" hidden="false" customHeight="true" outlineLevel="0" collapsed="false">
      <c r="A786" s="11" t="s">
        <v>1611</v>
      </c>
      <c r="B786" s="11" t="s">
        <v>403</v>
      </c>
      <c r="C786" s="11" t="s">
        <v>403</v>
      </c>
      <c r="D786" s="11" t="s">
        <v>395</v>
      </c>
      <c r="E786" s="11" t="s">
        <v>396</v>
      </c>
      <c r="F786" s="11" t="s">
        <v>447</v>
      </c>
      <c r="G786" s="11" t="s">
        <v>129</v>
      </c>
      <c r="H786" s="11"/>
      <c r="I786" s="11"/>
      <c r="J786" s="11" t="s">
        <v>343</v>
      </c>
      <c r="O786" s="1" t="n">
        <f aca="false">'Behovsmodell (75p)'!$B$76</f>
        <v>111099</v>
      </c>
      <c r="P786" s="1" t="n">
        <f aca="false">('Behovsmodell (75p)'!$B$76)/12</f>
        <v>9258.25</v>
      </c>
    </row>
    <row r="787" customFormat="false" ht="15" hidden="false" customHeight="true" outlineLevel="0" collapsed="false">
      <c r="A787" s="11" t="s">
        <v>1612</v>
      </c>
      <c r="B787" s="11" t="s">
        <v>536</v>
      </c>
      <c r="C787" s="11" t="s">
        <v>536</v>
      </c>
      <c r="D787" s="11" t="s">
        <v>347</v>
      </c>
      <c r="E787" s="11" t="s">
        <v>396</v>
      </c>
      <c r="F787" s="11" t="s">
        <v>593</v>
      </c>
      <c r="G787" s="11" t="s">
        <v>31</v>
      </c>
      <c r="H787" s="11"/>
      <c r="I787" s="11"/>
      <c r="J787" s="11" t="s">
        <v>343</v>
      </c>
      <c r="K787" s="1" t="s">
        <v>1008</v>
      </c>
      <c r="L787" s="1" t="s">
        <v>1009</v>
      </c>
      <c r="N787" s="1" t="s">
        <v>1010</v>
      </c>
      <c r="O787" s="1" t="n">
        <f aca="false">'Behovsmodell (75p)'!$B$62</f>
        <v>85559</v>
      </c>
      <c r="P787" s="1" t="n">
        <f aca="false">('Behovsmodell (75p)'!$B$62)/12</f>
        <v>7129.91666666667</v>
      </c>
    </row>
    <row r="788" customFormat="false" ht="15" hidden="false" customHeight="true" outlineLevel="0" collapsed="false">
      <c r="A788" s="11" t="s">
        <v>1613</v>
      </c>
      <c r="B788" s="11" t="s">
        <v>338</v>
      </c>
      <c r="C788" s="11" t="s">
        <v>339</v>
      </c>
      <c r="D788" s="11" t="s">
        <v>340</v>
      </c>
      <c r="E788" s="11" t="s">
        <v>341</v>
      </c>
      <c r="F788" s="11"/>
      <c r="G788" s="11"/>
      <c r="H788" s="11" t="s">
        <v>340</v>
      </c>
      <c r="I788" s="11"/>
      <c r="J788" s="11" t="s">
        <v>343</v>
      </c>
    </row>
    <row r="789" customFormat="false" ht="15" hidden="false" customHeight="true" outlineLevel="0" collapsed="false">
      <c r="A789" s="11" t="s">
        <v>1614</v>
      </c>
      <c r="B789" s="11" t="s">
        <v>338</v>
      </c>
      <c r="C789" s="11" t="s">
        <v>339</v>
      </c>
      <c r="D789" s="11" t="s">
        <v>340</v>
      </c>
      <c r="E789" s="11" t="s">
        <v>341</v>
      </c>
      <c r="F789" s="11" t="s">
        <v>342</v>
      </c>
      <c r="G789" s="11"/>
      <c r="H789" s="11" t="s">
        <v>340</v>
      </c>
      <c r="I789" s="11"/>
      <c r="J789" s="11" t="s">
        <v>343</v>
      </c>
    </row>
    <row r="790" customFormat="false" ht="15" hidden="false" customHeight="true" outlineLevel="0" collapsed="false">
      <c r="A790" s="11" t="s">
        <v>1615</v>
      </c>
      <c r="B790" s="11"/>
      <c r="C790" s="11" t="s">
        <v>339</v>
      </c>
      <c r="D790" s="11" t="s">
        <v>347</v>
      </c>
      <c r="E790" s="11"/>
      <c r="F790" s="11" t="s">
        <v>913</v>
      </c>
      <c r="G790" s="11" t="s">
        <v>31</v>
      </c>
      <c r="H790" s="11"/>
      <c r="I790" s="11"/>
      <c r="J790" s="11" t="s">
        <v>343</v>
      </c>
      <c r="O790" s="1" t="n">
        <f aca="false">'Behovsmodell (75p)'!$B$62</f>
        <v>85559</v>
      </c>
      <c r="P790" s="1" t="n">
        <f aca="false">('Behovsmodell (75p)'!$B$62)/12</f>
        <v>7129.91666666667</v>
      </c>
    </row>
    <row r="791" customFormat="false" ht="15" hidden="false" customHeight="true" outlineLevel="0" collapsed="false">
      <c r="A791" s="11" t="s">
        <v>1615</v>
      </c>
      <c r="B791" s="11"/>
      <c r="C791" s="11" t="s">
        <v>361</v>
      </c>
      <c r="D791" s="11"/>
      <c r="E791" s="11"/>
      <c r="F791" s="11" t="s">
        <v>913</v>
      </c>
      <c r="G791" s="11"/>
      <c r="H791" s="11"/>
      <c r="I791" s="11"/>
      <c r="J791" s="11" t="s">
        <v>343</v>
      </c>
    </row>
    <row r="792" customFormat="false" ht="15" hidden="false" customHeight="true" outlineLevel="0" collapsed="false">
      <c r="A792" s="11" t="s">
        <v>1616</v>
      </c>
      <c r="B792" s="11" t="s">
        <v>413</v>
      </c>
      <c r="C792" s="11" t="s">
        <v>414</v>
      </c>
      <c r="D792" s="11"/>
      <c r="E792" s="11" t="s">
        <v>356</v>
      </c>
      <c r="F792" s="11" t="s">
        <v>358</v>
      </c>
      <c r="G792" s="11"/>
      <c r="H792" s="11"/>
      <c r="I792" s="11"/>
      <c r="J792" s="11" t="s">
        <v>343</v>
      </c>
      <c r="N792" s="1" t="s">
        <v>1617</v>
      </c>
    </row>
    <row r="793" customFormat="false" ht="15" hidden="false" customHeight="true" outlineLevel="0" collapsed="false">
      <c r="A793" s="11" t="s">
        <v>1618</v>
      </c>
      <c r="B793" s="11"/>
      <c r="C793" s="11" t="s">
        <v>355</v>
      </c>
      <c r="D793" s="11" t="s">
        <v>347</v>
      </c>
      <c r="E793" s="11" t="s">
        <v>356</v>
      </c>
      <c r="F793" s="11"/>
      <c r="G793" s="11" t="s">
        <v>31</v>
      </c>
      <c r="H793" s="11"/>
      <c r="I793" s="11"/>
      <c r="J793" s="11" t="s">
        <v>343</v>
      </c>
      <c r="O793" s="1" t="n">
        <f aca="false">'Behovsmodell (75p)'!$B$62</f>
        <v>85559</v>
      </c>
      <c r="P793" s="1" t="n">
        <f aca="false">('Behovsmodell (75p)'!$B$62)/12</f>
        <v>7129.91666666667</v>
      </c>
    </row>
    <row r="794" customFormat="false" ht="15" hidden="false" customHeight="true" outlineLevel="0" collapsed="false">
      <c r="A794" s="11" t="s">
        <v>1618</v>
      </c>
      <c r="B794" s="11"/>
      <c r="C794" s="11" t="s">
        <v>339</v>
      </c>
      <c r="D794" s="11" t="s">
        <v>347</v>
      </c>
      <c r="E794" s="11" t="s">
        <v>356</v>
      </c>
      <c r="F794" s="11"/>
      <c r="G794" s="11" t="s">
        <v>31</v>
      </c>
      <c r="H794" s="11"/>
      <c r="I794" s="11"/>
      <c r="J794" s="11" t="s">
        <v>343</v>
      </c>
      <c r="O794" s="1" t="n">
        <f aca="false">'Behovsmodell (75p)'!$B$62</f>
        <v>85559</v>
      </c>
      <c r="P794" s="1" t="n">
        <f aca="false">('Behovsmodell (75p)'!$B$62)/12</f>
        <v>7129.91666666667</v>
      </c>
    </row>
    <row r="795" customFormat="false" ht="15" hidden="false" customHeight="true" outlineLevel="0" collapsed="false">
      <c r="A795" s="11" t="s">
        <v>1619</v>
      </c>
      <c r="B795" s="11" t="s">
        <v>368</v>
      </c>
      <c r="C795" s="11" t="s">
        <v>361</v>
      </c>
      <c r="D795" s="11" t="s">
        <v>347</v>
      </c>
      <c r="E795" s="11" t="s">
        <v>356</v>
      </c>
      <c r="F795" s="11" t="s">
        <v>656</v>
      </c>
      <c r="G795" s="11" t="s">
        <v>31</v>
      </c>
      <c r="H795" s="11"/>
      <c r="I795" s="11"/>
      <c r="J795" s="11" t="s">
        <v>343</v>
      </c>
      <c r="O795" s="1" t="n">
        <f aca="false">'Behovsmodell (75p)'!$B$62</f>
        <v>85559</v>
      </c>
      <c r="P795" s="1" t="n">
        <f aca="false">('Behovsmodell (75p)'!$B$62)/12</f>
        <v>7129.91666666667</v>
      </c>
    </row>
    <row r="796" customFormat="false" ht="15" hidden="false" customHeight="true" outlineLevel="0" collapsed="false">
      <c r="A796" s="11" t="s">
        <v>1620</v>
      </c>
      <c r="B796" s="11"/>
      <c r="C796" s="11" t="s">
        <v>361</v>
      </c>
      <c r="D796" s="11"/>
      <c r="E796" s="11" t="s">
        <v>356</v>
      </c>
      <c r="F796" s="11" t="s">
        <v>358</v>
      </c>
      <c r="G796" s="11"/>
      <c r="H796" s="11"/>
      <c r="I796" s="11"/>
      <c r="J796" s="11" t="s">
        <v>343</v>
      </c>
      <c r="K796" s="1" t="s">
        <v>1621</v>
      </c>
    </row>
    <row r="797" customFormat="false" ht="15" hidden="false" customHeight="true" outlineLevel="0" collapsed="false">
      <c r="A797" s="11" t="s">
        <v>1622</v>
      </c>
      <c r="B797" s="11" t="s">
        <v>380</v>
      </c>
      <c r="C797" s="11" t="s">
        <v>381</v>
      </c>
      <c r="D797" s="11"/>
      <c r="E797" s="11" t="s">
        <v>356</v>
      </c>
      <c r="F797" s="11" t="s">
        <v>353</v>
      </c>
      <c r="G797" s="11"/>
      <c r="H797" s="11"/>
      <c r="I797" s="11"/>
      <c r="J797" s="11" t="s">
        <v>343</v>
      </c>
    </row>
    <row r="798" customFormat="false" ht="15" hidden="false" customHeight="true" outlineLevel="0" collapsed="false">
      <c r="A798" s="11" t="s">
        <v>1623</v>
      </c>
      <c r="B798" s="11"/>
      <c r="C798" s="11" t="s">
        <v>351</v>
      </c>
      <c r="D798" s="11" t="s">
        <v>366</v>
      </c>
      <c r="E798" s="11" t="s">
        <v>396</v>
      </c>
      <c r="F798" s="11"/>
      <c r="G798" s="11"/>
      <c r="H798" s="11" t="s">
        <v>366</v>
      </c>
      <c r="I798" s="11"/>
      <c r="J798" s="11" t="s">
        <v>343</v>
      </c>
    </row>
    <row r="799" customFormat="false" ht="15" hidden="false" customHeight="true" outlineLevel="0" collapsed="false">
      <c r="A799" s="11" t="s">
        <v>1623</v>
      </c>
      <c r="B799" s="11"/>
      <c r="C799" s="11" t="s">
        <v>339</v>
      </c>
      <c r="D799" s="11" t="s">
        <v>366</v>
      </c>
      <c r="E799" s="11" t="s">
        <v>341</v>
      </c>
      <c r="F799" s="11"/>
      <c r="G799" s="11"/>
      <c r="H799" s="11" t="s">
        <v>366</v>
      </c>
      <c r="I799" s="11"/>
      <c r="J799" s="11" t="s">
        <v>343</v>
      </c>
    </row>
    <row r="800" customFormat="false" ht="15" hidden="false" customHeight="true" outlineLevel="0" collapsed="false">
      <c r="A800" s="11" t="s">
        <v>1624</v>
      </c>
      <c r="B800" s="11"/>
      <c r="C800" s="11" t="s">
        <v>361</v>
      </c>
      <c r="D800" s="11"/>
      <c r="E800" s="11" t="s">
        <v>356</v>
      </c>
      <c r="F800" s="11"/>
      <c r="G800" s="11"/>
      <c r="H800" s="11"/>
      <c r="I800" s="11"/>
      <c r="J800" s="11" t="s">
        <v>343</v>
      </c>
    </row>
    <row r="801" customFormat="false" ht="15" hidden="false" customHeight="true" outlineLevel="0" collapsed="false">
      <c r="A801" s="11" t="s">
        <v>1625</v>
      </c>
      <c r="B801" s="11" t="s">
        <v>666</v>
      </c>
      <c r="C801" s="11" t="s">
        <v>414</v>
      </c>
      <c r="D801" s="11"/>
      <c r="E801" s="11" t="s">
        <v>356</v>
      </c>
      <c r="F801" s="11" t="s">
        <v>358</v>
      </c>
      <c r="G801" s="11"/>
      <c r="H801" s="11"/>
      <c r="I801" s="11"/>
      <c r="J801" s="11" t="s">
        <v>343</v>
      </c>
    </row>
    <row r="802" customFormat="false" ht="15" hidden="false" customHeight="true" outlineLevel="0" collapsed="false">
      <c r="A802" s="11" t="s">
        <v>1626</v>
      </c>
      <c r="B802" s="11" t="s">
        <v>449</v>
      </c>
      <c r="C802" s="11" t="s">
        <v>245</v>
      </c>
      <c r="D802" s="11" t="s">
        <v>347</v>
      </c>
      <c r="E802" s="11" t="s">
        <v>356</v>
      </c>
      <c r="F802" s="11"/>
      <c r="G802" s="11" t="s">
        <v>31</v>
      </c>
      <c r="H802" s="11"/>
      <c r="I802" s="11"/>
      <c r="J802" s="11" t="s">
        <v>343</v>
      </c>
      <c r="O802" s="1" t="n">
        <f aca="false">'Behovsmodell (75p)'!$B$62</f>
        <v>85559</v>
      </c>
      <c r="P802" s="1" t="n">
        <f aca="false">('Behovsmodell (75p)'!$B$62)/12</f>
        <v>7129.91666666667</v>
      </c>
    </row>
    <row r="803" customFormat="false" ht="15" hidden="false" customHeight="true" outlineLevel="0" collapsed="false">
      <c r="A803" s="11" t="s">
        <v>1627</v>
      </c>
      <c r="B803" s="11" t="s">
        <v>345</v>
      </c>
      <c r="C803" s="11" t="s">
        <v>346</v>
      </c>
      <c r="D803" s="11" t="s">
        <v>340</v>
      </c>
      <c r="E803" s="11" t="s">
        <v>341</v>
      </c>
      <c r="F803" s="11"/>
      <c r="G803" s="11"/>
      <c r="H803" s="11" t="s">
        <v>340</v>
      </c>
      <c r="I803" s="11"/>
      <c r="J803" s="11" t="s">
        <v>343</v>
      </c>
    </row>
    <row r="804" customFormat="false" ht="15" hidden="false" customHeight="true" outlineLevel="0" collapsed="false">
      <c r="A804" s="11" t="s">
        <v>1628</v>
      </c>
      <c r="B804" s="11"/>
      <c r="C804" s="11" t="s">
        <v>597</v>
      </c>
      <c r="D804" s="11"/>
      <c r="E804" s="11" t="s">
        <v>356</v>
      </c>
      <c r="F804" s="11" t="s">
        <v>781</v>
      </c>
      <c r="G804" s="11"/>
      <c r="H804" s="11"/>
      <c r="I804" s="11"/>
      <c r="J804" s="11" t="s">
        <v>343</v>
      </c>
    </row>
    <row r="805" customFormat="false" ht="15" hidden="false" customHeight="true" outlineLevel="0" collapsed="false">
      <c r="A805" s="11" t="s">
        <v>1628</v>
      </c>
      <c r="B805" s="11"/>
      <c r="C805" s="11" t="s">
        <v>339</v>
      </c>
      <c r="D805" s="11" t="s">
        <v>347</v>
      </c>
      <c r="E805" s="11" t="s">
        <v>356</v>
      </c>
      <c r="F805" s="11" t="s">
        <v>781</v>
      </c>
      <c r="G805" s="11" t="s">
        <v>31</v>
      </c>
      <c r="H805" s="11"/>
      <c r="I805" s="11"/>
      <c r="J805" s="11" t="s">
        <v>343</v>
      </c>
      <c r="O805" s="1" t="n">
        <f aca="false">'Behovsmodell (75p)'!$B$62</f>
        <v>85559</v>
      </c>
      <c r="P805" s="1" t="n">
        <f aca="false">('Behovsmodell (75p)'!$B$62)/12</f>
        <v>7129.91666666667</v>
      </c>
    </row>
    <row r="806" customFormat="false" ht="15" hidden="false" customHeight="true" outlineLevel="0" collapsed="false">
      <c r="A806" s="11" t="s">
        <v>1629</v>
      </c>
      <c r="B806" s="11"/>
      <c r="C806" s="11" t="s">
        <v>355</v>
      </c>
      <c r="D806" s="11" t="s">
        <v>375</v>
      </c>
      <c r="E806" s="11"/>
      <c r="F806" s="11" t="s">
        <v>1630</v>
      </c>
      <c r="G806" s="11" t="s">
        <v>68</v>
      </c>
      <c r="H806" s="11"/>
      <c r="I806" s="11"/>
      <c r="J806" s="11" t="s">
        <v>343</v>
      </c>
      <c r="O806" s="1" t="n">
        <f aca="false">'Behovsmodell (75p)'!$B$66</f>
        <v>206427.05</v>
      </c>
      <c r="P806" s="1" t="n">
        <f aca="false">('Behovsmodell (75p)'!$B$66)/12</f>
        <v>17202.2541666667</v>
      </c>
    </row>
    <row r="807" customFormat="false" ht="15" hidden="false" customHeight="true" outlineLevel="0" collapsed="false">
      <c r="A807" s="11" t="s">
        <v>1631</v>
      </c>
      <c r="B807" s="11" t="s">
        <v>1296</v>
      </c>
      <c r="C807" s="11" t="s">
        <v>381</v>
      </c>
      <c r="D807" s="11" t="s">
        <v>652</v>
      </c>
      <c r="E807" s="11" t="s">
        <v>356</v>
      </c>
      <c r="F807" s="11"/>
      <c r="G807" s="11" t="s">
        <v>126</v>
      </c>
      <c r="H807" s="11"/>
      <c r="I807" s="11"/>
      <c r="J807" s="11" t="s">
        <v>343</v>
      </c>
      <c r="O807" s="1" t="n">
        <f aca="false">'Behovsmodell (75p)'!$B$75</f>
        <v>11812.25</v>
      </c>
      <c r="P807" s="1" t="n">
        <f aca="false">('Behovsmodell (75p)'!$B$75)/12</f>
        <v>984.354166666667</v>
      </c>
    </row>
    <row r="808" customFormat="false" ht="15" hidden="false" customHeight="true" outlineLevel="0" collapsed="false">
      <c r="A808" s="11" t="s">
        <v>1632</v>
      </c>
      <c r="B808" s="11" t="s">
        <v>429</v>
      </c>
      <c r="C808" s="11" t="s">
        <v>361</v>
      </c>
      <c r="D808" s="11" t="s">
        <v>347</v>
      </c>
      <c r="E808" s="11"/>
      <c r="F808" s="11"/>
      <c r="G808" s="11" t="s">
        <v>31</v>
      </c>
      <c r="H808" s="11"/>
      <c r="I808" s="11"/>
      <c r="J808" s="11" t="s">
        <v>343</v>
      </c>
      <c r="O808" s="1" t="n">
        <f aca="false">'Behovsmodell (75p)'!$B$62</f>
        <v>85559</v>
      </c>
      <c r="P808" s="1" t="n">
        <f aca="false">('Behovsmodell (75p)'!$B$62)/12</f>
        <v>7129.91666666667</v>
      </c>
    </row>
    <row r="809" customFormat="false" ht="15" hidden="false" customHeight="true" outlineLevel="0" collapsed="false">
      <c r="A809" s="11" t="s">
        <v>1633</v>
      </c>
      <c r="B809" s="11" t="s">
        <v>597</v>
      </c>
      <c r="C809" s="11" t="s">
        <v>597</v>
      </c>
      <c r="D809" s="11"/>
      <c r="E809" s="11" t="s">
        <v>356</v>
      </c>
      <c r="F809" s="11" t="s">
        <v>1634</v>
      </c>
      <c r="G809" s="11"/>
      <c r="H809" s="11"/>
      <c r="I809" s="11"/>
      <c r="J809" s="11" t="s">
        <v>343</v>
      </c>
    </row>
    <row r="810" customFormat="false" ht="15" hidden="false" customHeight="true" outlineLevel="0" collapsed="false">
      <c r="A810" s="11" t="s">
        <v>1635</v>
      </c>
      <c r="B810" s="11" t="s">
        <v>405</v>
      </c>
      <c r="C810" s="11" t="s">
        <v>346</v>
      </c>
      <c r="D810" s="11" t="s">
        <v>340</v>
      </c>
      <c r="E810" s="11" t="s">
        <v>341</v>
      </c>
      <c r="F810" s="11"/>
      <c r="G810" s="11"/>
      <c r="H810" s="11" t="s">
        <v>340</v>
      </c>
      <c r="I810" s="11"/>
      <c r="J810" s="11" t="s">
        <v>343</v>
      </c>
    </row>
    <row r="811" customFormat="false" ht="15" hidden="false" customHeight="true" outlineLevel="0" collapsed="false">
      <c r="A811" s="11" t="s">
        <v>1636</v>
      </c>
      <c r="B811" s="11"/>
      <c r="C811" s="11" t="s">
        <v>355</v>
      </c>
      <c r="D811" s="11"/>
      <c r="E811" s="11" t="s">
        <v>356</v>
      </c>
      <c r="F811" s="11"/>
      <c r="G811" s="11"/>
      <c r="H811" s="11"/>
      <c r="I811" s="11"/>
      <c r="J811" s="11" t="s">
        <v>343</v>
      </c>
    </row>
    <row r="812" customFormat="false" ht="15" hidden="false" customHeight="true" outlineLevel="0" collapsed="false">
      <c r="A812" s="11" t="s">
        <v>1637</v>
      </c>
      <c r="B812" s="11"/>
      <c r="C812" s="11" t="s">
        <v>361</v>
      </c>
      <c r="D812" s="11" t="s">
        <v>347</v>
      </c>
      <c r="E812" s="11" t="s">
        <v>356</v>
      </c>
      <c r="F812" s="11" t="s">
        <v>792</v>
      </c>
      <c r="G812" s="11" t="s">
        <v>31</v>
      </c>
      <c r="H812" s="11"/>
      <c r="I812" s="11"/>
      <c r="J812" s="11" t="s">
        <v>343</v>
      </c>
      <c r="O812" s="1" t="n">
        <f aca="false">'Behovsmodell (75p)'!$B$62</f>
        <v>85559</v>
      </c>
      <c r="P812" s="1" t="n">
        <f aca="false">('Behovsmodell (75p)'!$B$62)/12</f>
        <v>7129.91666666667</v>
      </c>
    </row>
    <row r="813" customFormat="false" ht="15" hidden="false" customHeight="true" outlineLevel="0" collapsed="false">
      <c r="A813" s="11" t="s">
        <v>1638</v>
      </c>
      <c r="B813" s="11"/>
      <c r="C813" s="11" t="s">
        <v>457</v>
      </c>
      <c r="D813" s="11" t="s">
        <v>347</v>
      </c>
      <c r="E813" s="11" t="s">
        <v>356</v>
      </c>
      <c r="F813" s="11"/>
      <c r="G813" s="11" t="s">
        <v>31</v>
      </c>
      <c r="H813" s="11"/>
      <c r="I813" s="11"/>
      <c r="J813" s="11" t="s">
        <v>343</v>
      </c>
      <c r="O813" s="1" t="n">
        <f aca="false">'Behovsmodell (75p)'!$B$62</f>
        <v>85559</v>
      </c>
      <c r="P813" s="1" t="n">
        <f aca="false">('Behovsmodell (75p)'!$B$62)/12</f>
        <v>7129.91666666667</v>
      </c>
    </row>
    <row r="814" customFormat="false" ht="15" hidden="false" customHeight="true" outlineLevel="0" collapsed="false">
      <c r="A814" s="11" t="s">
        <v>1639</v>
      </c>
      <c r="B814" s="11" t="s">
        <v>345</v>
      </c>
      <c r="C814" s="11" t="s">
        <v>346</v>
      </c>
      <c r="D814" s="11"/>
      <c r="E814" s="11" t="s">
        <v>356</v>
      </c>
      <c r="F814" s="11" t="s">
        <v>353</v>
      </c>
      <c r="G814" s="11"/>
      <c r="H814" s="11"/>
      <c r="I814" s="11"/>
      <c r="J814" s="11" t="s">
        <v>343</v>
      </c>
      <c r="N814" s="1" t="s">
        <v>1640</v>
      </c>
    </row>
    <row r="815" customFormat="false" ht="15" hidden="false" customHeight="true" outlineLevel="0" collapsed="false">
      <c r="A815" s="11" t="s">
        <v>1641</v>
      </c>
      <c r="B815" s="11" t="s">
        <v>536</v>
      </c>
      <c r="C815" s="11" t="s">
        <v>536</v>
      </c>
      <c r="D815" s="11"/>
      <c r="E815" s="11" t="s">
        <v>396</v>
      </c>
      <c r="F815" s="11" t="s">
        <v>1642</v>
      </c>
      <c r="G815" s="11"/>
      <c r="H815" s="11"/>
      <c r="I815" s="11"/>
      <c r="J815" s="11" t="s">
        <v>343</v>
      </c>
    </row>
    <row r="816" customFormat="false" ht="15" hidden="false" customHeight="true" outlineLevel="0" collapsed="false">
      <c r="A816" s="11" t="s">
        <v>1643</v>
      </c>
      <c r="B816" s="11"/>
      <c r="C816" s="11" t="s">
        <v>355</v>
      </c>
      <c r="D816" s="11" t="s">
        <v>347</v>
      </c>
      <c r="E816" s="11"/>
      <c r="F816" s="11"/>
      <c r="G816" s="11" t="s">
        <v>31</v>
      </c>
      <c r="H816" s="11"/>
      <c r="I816" s="11"/>
      <c r="J816" s="11" t="s">
        <v>343</v>
      </c>
      <c r="O816" s="1" t="n">
        <f aca="false">'Behovsmodell (75p)'!$B$62</f>
        <v>85559</v>
      </c>
      <c r="P816" s="1" t="n">
        <f aca="false">('Behovsmodell (75p)'!$B$62)/12</f>
        <v>7129.91666666667</v>
      </c>
    </row>
    <row r="817" customFormat="false" ht="15" hidden="false" customHeight="true" outlineLevel="0" collapsed="false">
      <c r="A817" s="11" t="s">
        <v>1644</v>
      </c>
      <c r="B817" s="11" t="s">
        <v>522</v>
      </c>
      <c r="C817" s="11" t="s">
        <v>351</v>
      </c>
      <c r="D817" s="11" t="s">
        <v>395</v>
      </c>
      <c r="E817" s="11" t="s">
        <v>396</v>
      </c>
      <c r="F817" s="11" t="s">
        <v>362</v>
      </c>
      <c r="G817" s="11" t="s">
        <v>129</v>
      </c>
      <c r="H817" s="11"/>
      <c r="I817" s="11"/>
      <c r="J817" s="11" t="s">
        <v>343</v>
      </c>
      <c r="O817" s="1" t="n">
        <f aca="false">'Behovsmodell (75p)'!$B$76</f>
        <v>111099</v>
      </c>
      <c r="P817" s="1" t="n">
        <f aca="false">('Behovsmodell (75p)'!$B$76)/12</f>
        <v>9258.25</v>
      </c>
    </row>
    <row r="818" customFormat="false" ht="15" hidden="false" customHeight="true" outlineLevel="0" collapsed="false">
      <c r="A818" s="11" t="s">
        <v>1645</v>
      </c>
      <c r="B818" s="11" t="s">
        <v>380</v>
      </c>
      <c r="C818" s="11" t="s">
        <v>381</v>
      </c>
      <c r="D818" s="11"/>
      <c r="E818" s="11" t="s">
        <v>396</v>
      </c>
      <c r="F818" s="11" t="s">
        <v>362</v>
      </c>
      <c r="G818" s="11"/>
      <c r="H818" s="11"/>
      <c r="I818" s="11"/>
      <c r="J818" s="11" t="s">
        <v>343</v>
      </c>
    </row>
    <row r="819" customFormat="false" ht="15" hidden="false" customHeight="true" outlineLevel="0" collapsed="false">
      <c r="A819" s="11" t="s">
        <v>1646</v>
      </c>
      <c r="B819" s="11"/>
      <c r="C819" s="11" t="s">
        <v>355</v>
      </c>
      <c r="D819" s="11" t="s">
        <v>347</v>
      </c>
      <c r="E819" s="11" t="s">
        <v>356</v>
      </c>
      <c r="F819" s="11" t="s">
        <v>362</v>
      </c>
      <c r="G819" s="11" t="s">
        <v>31</v>
      </c>
      <c r="H819" s="11"/>
      <c r="I819" s="11"/>
      <c r="J819" s="11" t="s">
        <v>343</v>
      </c>
      <c r="O819" s="1" t="n">
        <f aca="false">'Behovsmodell (75p)'!$B$62</f>
        <v>85559</v>
      </c>
      <c r="P819" s="1" t="n">
        <f aca="false">('Behovsmodell (75p)'!$B$62)/12</f>
        <v>7129.91666666667</v>
      </c>
    </row>
    <row r="820" customFormat="false" ht="15" hidden="false" customHeight="true" outlineLevel="0" collapsed="false">
      <c r="A820" s="11" t="s">
        <v>1647</v>
      </c>
      <c r="B820" s="11" t="s">
        <v>1268</v>
      </c>
      <c r="C820" s="11" t="s">
        <v>536</v>
      </c>
      <c r="D820" s="11"/>
      <c r="E820" s="11" t="s">
        <v>356</v>
      </c>
      <c r="F820" s="11" t="s">
        <v>542</v>
      </c>
      <c r="G820" s="11"/>
      <c r="H820" s="11"/>
      <c r="I820" s="11"/>
      <c r="J820" s="11" t="s">
        <v>343</v>
      </c>
      <c r="N820" s="1" t="s">
        <v>1648</v>
      </c>
    </row>
    <row r="821" customFormat="false" ht="15" hidden="false" customHeight="true" outlineLevel="0" collapsed="false">
      <c r="A821" s="11" t="s">
        <v>1649</v>
      </c>
      <c r="B821" s="11"/>
      <c r="C821" s="11" t="s">
        <v>597</v>
      </c>
      <c r="D821" s="11"/>
      <c r="E821" s="11" t="s">
        <v>356</v>
      </c>
      <c r="F821" s="11"/>
      <c r="G821" s="11"/>
      <c r="H821" s="11"/>
      <c r="I821" s="11"/>
      <c r="J821" s="11" t="s">
        <v>343</v>
      </c>
      <c r="N821" s="1" t="s">
        <v>1648</v>
      </c>
    </row>
    <row r="822" customFormat="false" ht="15" hidden="false" customHeight="true" outlineLevel="0" collapsed="false">
      <c r="A822" s="11" t="s">
        <v>1650</v>
      </c>
      <c r="B822" s="11"/>
      <c r="C822" s="11" t="s">
        <v>361</v>
      </c>
      <c r="D822" s="11"/>
      <c r="E822" s="11" t="s">
        <v>356</v>
      </c>
      <c r="F822" s="11" t="s">
        <v>681</v>
      </c>
      <c r="G822" s="11"/>
      <c r="H822" s="11"/>
      <c r="I822" s="11"/>
      <c r="J822" s="11" t="s">
        <v>343</v>
      </c>
      <c r="K822" s="1" t="s">
        <v>1651</v>
      </c>
      <c r="N822" s="1" t="s">
        <v>1652</v>
      </c>
    </row>
    <row r="823" customFormat="false" ht="15" hidden="false" customHeight="true" outlineLevel="0" collapsed="false">
      <c r="A823" s="11" t="s">
        <v>1653</v>
      </c>
      <c r="B823" s="11"/>
      <c r="C823" s="11" t="s">
        <v>346</v>
      </c>
      <c r="D823" s="11"/>
      <c r="E823" s="11" t="s">
        <v>356</v>
      </c>
      <c r="F823" s="11"/>
      <c r="G823" s="11"/>
      <c r="H823" s="11"/>
      <c r="I823" s="11"/>
      <c r="J823" s="11" t="s">
        <v>343</v>
      </c>
    </row>
    <row r="824" customFormat="false" ht="15" hidden="false" customHeight="true" outlineLevel="0" collapsed="false">
      <c r="A824" s="11" t="s">
        <v>1654</v>
      </c>
      <c r="B824" s="11"/>
      <c r="C824" s="11" t="s">
        <v>346</v>
      </c>
      <c r="D824" s="11"/>
      <c r="E824" s="11" t="s">
        <v>396</v>
      </c>
      <c r="F824" s="11" t="s">
        <v>358</v>
      </c>
      <c r="G824" s="11"/>
      <c r="H824" s="11"/>
      <c r="I824" s="11"/>
      <c r="J824" s="11" t="s">
        <v>343</v>
      </c>
    </row>
    <row r="825" customFormat="false" ht="15" hidden="false" customHeight="true" outlineLevel="0" collapsed="false">
      <c r="A825" s="11" t="s">
        <v>1655</v>
      </c>
      <c r="B825" s="11" t="s">
        <v>338</v>
      </c>
      <c r="C825" s="11" t="s">
        <v>339</v>
      </c>
      <c r="D825" s="11"/>
      <c r="E825" s="11" t="s">
        <v>396</v>
      </c>
      <c r="F825" s="11" t="s">
        <v>1656</v>
      </c>
      <c r="G825" s="11"/>
      <c r="H825" s="11"/>
      <c r="I825" s="11"/>
      <c r="J825" s="11" t="s">
        <v>343</v>
      </c>
    </row>
    <row r="826" customFormat="false" ht="15" hidden="false" customHeight="true" outlineLevel="0" collapsed="false">
      <c r="A826" s="24" t="s">
        <v>1657</v>
      </c>
      <c r="B826" s="24"/>
      <c r="C826" s="24" t="s">
        <v>339</v>
      </c>
      <c r="D826" s="24"/>
      <c r="E826" s="24" t="s">
        <v>356</v>
      </c>
      <c r="F826" s="24" t="s">
        <v>702</v>
      </c>
      <c r="G826" s="24"/>
      <c r="H826" s="24"/>
      <c r="I826" s="24" t="s">
        <v>384</v>
      </c>
      <c r="J826" s="24" t="s">
        <v>343</v>
      </c>
    </row>
    <row r="827" customFormat="false" ht="15" hidden="false" customHeight="true" outlineLevel="0" collapsed="false">
      <c r="A827" s="11" t="s">
        <v>1658</v>
      </c>
      <c r="B827" s="11" t="s">
        <v>1079</v>
      </c>
      <c r="C827" s="11" t="s">
        <v>414</v>
      </c>
      <c r="D827" s="11" t="s">
        <v>352</v>
      </c>
      <c r="E827" s="11"/>
      <c r="F827" s="11" t="s">
        <v>539</v>
      </c>
      <c r="G827" s="11" t="s">
        <v>84</v>
      </c>
      <c r="H827" s="11"/>
      <c r="I827" s="11"/>
      <c r="J827" s="11" t="s">
        <v>343</v>
      </c>
      <c r="O827" s="1" t="n">
        <f aca="false">'Behovsmodell (75p)'!$B$68</f>
        <v>330040.65</v>
      </c>
      <c r="P827" s="1" t="n">
        <f aca="false">('Behovsmodell (75p)'!$B$68)/12</f>
        <v>27503.3875</v>
      </c>
    </row>
    <row r="828" customFormat="false" ht="15" hidden="false" customHeight="true" outlineLevel="0" collapsed="false">
      <c r="A828" s="11" t="s">
        <v>1659</v>
      </c>
      <c r="B828" s="11" t="s">
        <v>1300</v>
      </c>
      <c r="C828" s="11" t="s">
        <v>388</v>
      </c>
      <c r="D828" s="11"/>
      <c r="E828" s="11" t="s">
        <v>356</v>
      </c>
      <c r="F828" s="11" t="s">
        <v>539</v>
      </c>
      <c r="G828" s="11"/>
      <c r="H828" s="11"/>
      <c r="I828" s="11"/>
      <c r="J828" s="11" t="s">
        <v>343</v>
      </c>
    </row>
    <row r="829" customFormat="false" ht="15" hidden="false" customHeight="true" outlineLevel="0" collapsed="false">
      <c r="A829" s="11" t="s">
        <v>1660</v>
      </c>
      <c r="B829" s="11" t="s">
        <v>908</v>
      </c>
      <c r="C829" s="11" t="s">
        <v>381</v>
      </c>
      <c r="D829" s="11"/>
      <c r="E829" s="11" t="s">
        <v>356</v>
      </c>
      <c r="F829" s="11" t="s">
        <v>358</v>
      </c>
      <c r="G829" s="11"/>
      <c r="H829" s="11"/>
      <c r="I829" s="11"/>
      <c r="J829" s="11" t="s">
        <v>343</v>
      </c>
    </row>
    <row r="830" customFormat="false" ht="15" hidden="false" customHeight="true" outlineLevel="0" collapsed="false">
      <c r="A830" s="11" t="s">
        <v>1661</v>
      </c>
      <c r="B830" s="11"/>
      <c r="C830" s="11" t="s">
        <v>361</v>
      </c>
      <c r="D830" s="11"/>
      <c r="E830" s="11" t="s">
        <v>356</v>
      </c>
      <c r="F830" s="11"/>
      <c r="G830" s="11"/>
      <c r="H830" s="11"/>
      <c r="I830" s="11"/>
      <c r="J830" s="11" t="s">
        <v>343</v>
      </c>
    </row>
    <row r="831" customFormat="false" ht="15" hidden="false" customHeight="true" outlineLevel="0" collapsed="false">
      <c r="A831" s="11" t="s">
        <v>1662</v>
      </c>
      <c r="B831" s="11" t="s">
        <v>437</v>
      </c>
      <c r="C831" s="11" t="s">
        <v>361</v>
      </c>
      <c r="D831" s="11"/>
      <c r="E831" s="11" t="s">
        <v>396</v>
      </c>
      <c r="F831" s="11"/>
      <c r="G831" s="11"/>
      <c r="H831" s="11"/>
      <c r="I831" s="11"/>
      <c r="J831" s="11" t="s">
        <v>343</v>
      </c>
    </row>
    <row r="832" customFormat="false" ht="15" hidden="false" customHeight="true" outlineLevel="0" collapsed="false">
      <c r="A832" s="11" t="s">
        <v>1663</v>
      </c>
      <c r="B832" s="11" t="s">
        <v>424</v>
      </c>
      <c r="C832" s="11" t="s">
        <v>339</v>
      </c>
      <c r="D832" s="11" t="s">
        <v>352</v>
      </c>
      <c r="E832" s="11" t="s">
        <v>356</v>
      </c>
      <c r="F832" s="11" t="s">
        <v>539</v>
      </c>
      <c r="G832" s="11" t="s">
        <v>84</v>
      </c>
      <c r="H832" s="11"/>
      <c r="I832" s="11"/>
      <c r="J832" s="11" t="s">
        <v>343</v>
      </c>
      <c r="O832" s="1" t="n">
        <f aca="false">'Behovsmodell (75p)'!$B$68</f>
        <v>330040.65</v>
      </c>
      <c r="P832" s="1" t="n">
        <f aca="false">('Behovsmodell (75p)'!$B$68)/12</f>
        <v>27503.3875</v>
      </c>
    </row>
    <row r="833" customFormat="false" ht="15" hidden="false" customHeight="true" outlineLevel="0" collapsed="false">
      <c r="A833" s="11" t="s">
        <v>1664</v>
      </c>
      <c r="B833" s="11"/>
      <c r="C833" s="11" t="s">
        <v>355</v>
      </c>
      <c r="D833" s="11" t="s">
        <v>1108</v>
      </c>
      <c r="E833" s="11" t="s">
        <v>356</v>
      </c>
      <c r="F833" s="11" t="s">
        <v>358</v>
      </c>
      <c r="G833" s="11" t="s">
        <v>31</v>
      </c>
      <c r="H833" s="11" t="s">
        <v>366</v>
      </c>
      <c r="I833" s="11"/>
      <c r="J833" s="11" t="s">
        <v>343</v>
      </c>
      <c r="O833" s="1" t="n">
        <f aca="false">'Behovsmodell (75p)'!$B$62</f>
        <v>85559</v>
      </c>
      <c r="P833" s="1" t="n">
        <f aca="false">('Behovsmodell (75p)'!$B$62)/12</f>
        <v>7129.91666666667</v>
      </c>
    </row>
    <row r="834" customFormat="false" ht="15" hidden="false" customHeight="true" outlineLevel="0" collapsed="false">
      <c r="A834" s="11" t="s">
        <v>1665</v>
      </c>
      <c r="B834" s="11" t="s">
        <v>597</v>
      </c>
      <c r="C834" s="11" t="s">
        <v>597</v>
      </c>
      <c r="D834" s="11" t="s">
        <v>340</v>
      </c>
      <c r="E834" s="11" t="s">
        <v>341</v>
      </c>
      <c r="F834" s="11" t="s">
        <v>674</v>
      </c>
      <c r="G834" s="11"/>
      <c r="H834" s="11" t="s">
        <v>340</v>
      </c>
      <c r="I834" s="11"/>
      <c r="J834" s="11" t="s">
        <v>343</v>
      </c>
    </row>
    <row r="835" customFormat="false" ht="15" hidden="false" customHeight="true" outlineLevel="0" collapsed="false">
      <c r="A835" s="11" t="s">
        <v>1666</v>
      </c>
      <c r="B835" s="11" t="s">
        <v>1667</v>
      </c>
      <c r="C835" s="11" t="s">
        <v>414</v>
      </c>
      <c r="D835" s="11" t="s">
        <v>340</v>
      </c>
      <c r="E835" s="11" t="s">
        <v>341</v>
      </c>
      <c r="F835" s="11"/>
      <c r="G835" s="11"/>
      <c r="H835" s="11" t="s">
        <v>340</v>
      </c>
      <c r="I835" s="11"/>
      <c r="J835" s="11" t="s">
        <v>343</v>
      </c>
    </row>
    <row r="836" customFormat="false" ht="15" hidden="false" customHeight="true" outlineLevel="0" collapsed="false">
      <c r="A836" s="11" t="s">
        <v>1668</v>
      </c>
      <c r="B836" s="11"/>
      <c r="C836" s="11" t="s">
        <v>339</v>
      </c>
      <c r="D836" s="11"/>
      <c r="E836" s="11" t="s">
        <v>356</v>
      </c>
      <c r="F836" s="11" t="s">
        <v>358</v>
      </c>
      <c r="G836" s="11"/>
      <c r="H836" s="11"/>
      <c r="I836" s="11"/>
      <c r="J836" s="11" t="s">
        <v>343</v>
      </c>
    </row>
    <row r="837" customFormat="false" ht="15" hidden="false" customHeight="true" outlineLevel="0" collapsed="false">
      <c r="A837" s="11" t="s">
        <v>1669</v>
      </c>
      <c r="B837" s="11" t="s">
        <v>481</v>
      </c>
      <c r="C837" s="11" t="s">
        <v>457</v>
      </c>
      <c r="D837" s="11" t="s">
        <v>340</v>
      </c>
      <c r="E837" s="11" t="s">
        <v>341</v>
      </c>
      <c r="F837" s="11" t="s">
        <v>1670</v>
      </c>
      <c r="G837" s="11"/>
      <c r="H837" s="11" t="s">
        <v>340</v>
      </c>
      <c r="I837" s="11"/>
      <c r="J837" s="11" t="s">
        <v>343</v>
      </c>
    </row>
    <row r="838" customFormat="false" ht="15" hidden="false" customHeight="true" outlineLevel="0" collapsed="false">
      <c r="A838" s="11" t="s">
        <v>1671</v>
      </c>
      <c r="B838" s="11" t="s">
        <v>1672</v>
      </c>
      <c r="C838" s="11" t="s">
        <v>339</v>
      </c>
      <c r="D838" s="11" t="s">
        <v>340</v>
      </c>
      <c r="E838" s="11" t="s">
        <v>341</v>
      </c>
      <c r="F838" s="11"/>
      <c r="G838" s="11"/>
      <c r="H838" s="11" t="s">
        <v>340</v>
      </c>
      <c r="I838" s="11"/>
      <c r="J838" s="11" t="s">
        <v>343</v>
      </c>
    </row>
    <row r="839" customFormat="false" ht="15" hidden="false" customHeight="true" outlineLevel="0" collapsed="false">
      <c r="A839" s="11" t="s">
        <v>1673</v>
      </c>
      <c r="B839" s="11" t="s">
        <v>1154</v>
      </c>
      <c r="C839" s="11" t="s">
        <v>355</v>
      </c>
      <c r="D839" s="11" t="s">
        <v>340</v>
      </c>
      <c r="E839" s="11" t="s">
        <v>341</v>
      </c>
      <c r="F839" s="11" t="s">
        <v>1674</v>
      </c>
      <c r="G839" s="11"/>
      <c r="H839" s="11" t="s">
        <v>340</v>
      </c>
      <c r="I839" s="11"/>
      <c r="J839" s="11" t="s">
        <v>343</v>
      </c>
    </row>
    <row r="840" customFormat="false" ht="15" hidden="false" customHeight="true" outlineLevel="0" collapsed="false">
      <c r="A840" s="11" t="s">
        <v>1675</v>
      </c>
      <c r="B840" s="11"/>
      <c r="C840" s="11" t="s">
        <v>457</v>
      </c>
      <c r="D840" s="11" t="s">
        <v>366</v>
      </c>
      <c r="E840" s="11" t="s">
        <v>341</v>
      </c>
      <c r="F840" s="11" t="s">
        <v>358</v>
      </c>
      <c r="G840" s="11"/>
      <c r="H840" s="11" t="s">
        <v>366</v>
      </c>
      <c r="I840" s="11"/>
      <c r="J840" s="11" t="s">
        <v>343</v>
      </c>
    </row>
    <row r="841" customFormat="false" ht="15" hidden="false" customHeight="true" outlineLevel="0" collapsed="false">
      <c r="A841" s="11" t="s">
        <v>1675</v>
      </c>
      <c r="B841" s="11" t="s">
        <v>711</v>
      </c>
      <c r="C841" s="11" t="s">
        <v>355</v>
      </c>
      <c r="D841" s="11" t="s">
        <v>366</v>
      </c>
      <c r="E841" s="11" t="s">
        <v>341</v>
      </c>
      <c r="F841" s="11" t="s">
        <v>358</v>
      </c>
      <c r="G841" s="11"/>
      <c r="H841" s="11" t="s">
        <v>366</v>
      </c>
      <c r="I841" s="11"/>
      <c r="J841" s="11" t="s">
        <v>343</v>
      </c>
    </row>
    <row r="842" customFormat="false" ht="15" hidden="false" customHeight="true" outlineLevel="0" collapsed="false">
      <c r="A842" s="11" t="s">
        <v>1675</v>
      </c>
      <c r="B842" s="11" t="s">
        <v>378</v>
      </c>
      <c r="C842" s="11" t="s">
        <v>339</v>
      </c>
      <c r="D842" s="11" t="s">
        <v>366</v>
      </c>
      <c r="E842" s="11" t="s">
        <v>341</v>
      </c>
      <c r="F842" s="11" t="s">
        <v>358</v>
      </c>
      <c r="G842" s="11"/>
      <c r="H842" s="11" t="s">
        <v>366</v>
      </c>
      <c r="I842" s="11"/>
      <c r="J842" s="11" t="s">
        <v>343</v>
      </c>
    </row>
    <row r="843" customFormat="false" ht="15" hidden="false" customHeight="true" outlineLevel="0" collapsed="false">
      <c r="A843" s="11" t="s">
        <v>1676</v>
      </c>
      <c r="B843" s="11"/>
      <c r="C843" s="11" t="s">
        <v>457</v>
      </c>
      <c r="D843" s="11" t="s">
        <v>366</v>
      </c>
      <c r="E843" s="11" t="s">
        <v>396</v>
      </c>
      <c r="F843" s="11" t="s">
        <v>1019</v>
      </c>
      <c r="G843" s="11"/>
      <c r="H843" s="11" t="s">
        <v>366</v>
      </c>
      <c r="I843" s="11"/>
      <c r="J843" s="11" t="s">
        <v>343</v>
      </c>
      <c r="K843" s="1" t="s">
        <v>1677</v>
      </c>
      <c r="L843" s="1" t="s">
        <v>1678</v>
      </c>
      <c r="N843" s="1" t="s">
        <v>1679</v>
      </c>
    </row>
    <row r="844" customFormat="false" ht="15" hidden="false" customHeight="true" outlineLevel="0" collapsed="false">
      <c r="A844" s="11" t="s">
        <v>1680</v>
      </c>
      <c r="B844" s="11" t="s">
        <v>1681</v>
      </c>
      <c r="C844" s="11" t="s">
        <v>536</v>
      </c>
      <c r="D844" s="11" t="s">
        <v>347</v>
      </c>
      <c r="E844" s="11" t="s">
        <v>356</v>
      </c>
      <c r="F844" s="11"/>
      <c r="G844" s="11" t="s">
        <v>31</v>
      </c>
      <c r="H844" s="11"/>
      <c r="I844" s="11"/>
      <c r="J844" s="11" t="s">
        <v>343</v>
      </c>
      <c r="O844" s="1" t="n">
        <f aca="false">'Behovsmodell (75p)'!$B$62</f>
        <v>85559</v>
      </c>
      <c r="P844" s="1" t="n">
        <f aca="false">('Behovsmodell (75p)'!$B$62)/12</f>
        <v>7129.91666666667</v>
      </c>
    </row>
    <row r="845" customFormat="false" ht="15" hidden="false" customHeight="true" outlineLevel="0" collapsed="false">
      <c r="A845" s="11" t="s">
        <v>1682</v>
      </c>
      <c r="B845" s="11" t="s">
        <v>345</v>
      </c>
      <c r="C845" s="11" t="s">
        <v>346</v>
      </c>
      <c r="D845" s="11" t="s">
        <v>340</v>
      </c>
      <c r="E845" s="11" t="s">
        <v>341</v>
      </c>
      <c r="F845" s="11" t="s">
        <v>358</v>
      </c>
      <c r="G845" s="11"/>
      <c r="H845" s="11" t="s">
        <v>340</v>
      </c>
      <c r="I845" s="11"/>
      <c r="J845" s="11" t="s">
        <v>343</v>
      </c>
    </row>
    <row r="846" customFormat="false" ht="15" hidden="false" customHeight="true" outlineLevel="0" collapsed="false">
      <c r="A846" s="11" t="s">
        <v>1683</v>
      </c>
      <c r="B846" s="11" t="s">
        <v>380</v>
      </c>
      <c r="C846" s="11" t="s">
        <v>381</v>
      </c>
      <c r="D846" s="11" t="s">
        <v>652</v>
      </c>
      <c r="E846" s="11" t="s">
        <v>356</v>
      </c>
      <c r="F846" s="11"/>
      <c r="G846" s="11" t="s">
        <v>126</v>
      </c>
      <c r="H846" s="11"/>
      <c r="I846" s="11"/>
      <c r="J846" s="11" t="s">
        <v>343</v>
      </c>
      <c r="O846" s="1" t="n">
        <f aca="false">'Behovsmodell (75p)'!$B$75</f>
        <v>11812.25</v>
      </c>
      <c r="P846" s="1" t="n">
        <f aca="false">('Behovsmodell (75p)'!$B$75)/12</f>
        <v>984.354166666667</v>
      </c>
    </row>
    <row r="847" customFormat="false" ht="15" hidden="false" customHeight="true" outlineLevel="0" collapsed="false">
      <c r="A847" s="11" t="s">
        <v>1684</v>
      </c>
      <c r="B847" s="11"/>
      <c r="C847" s="11" t="s">
        <v>339</v>
      </c>
      <c r="D847" s="11" t="s">
        <v>375</v>
      </c>
      <c r="E847" s="11" t="s">
        <v>356</v>
      </c>
      <c r="F847" s="11" t="s">
        <v>971</v>
      </c>
      <c r="G847" s="11" t="s">
        <v>68</v>
      </c>
      <c r="H847" s="11"/>
      <c r="I847" s="11"/>
      <c r="J847" s="11" t="s">
        <v>343</v>
      </c>
      <c r="O847" s="1" t="n">
        <f aca="false">'Behovsmodell (75p)'!$B$66</f>
        <v>206427.05</v>
      </c>
      <c r="P847" s="1" t="n">
        <f aca="false">('Behovsmodell (75p)'!$B$66)/12</f>
        <v>17202.2541666667</v>
      </c>
    </row>
    <row r="848" customFormat="false" ht="15" hidden="false" customHeight="true" outlineLevel="0" collapsed="false">
      <c r="A848" s="11" t="s">
        <v>1685</v>
      </c>
      <c r="B848" s="11"/>
      <c r="C848" s="11" t="s">
        <v>346</v>
      </c>
      <c r="D848" s="11" t="s">
        <v>530</v>
      </c>
      <c r="E848" s="11" t="s">
        <v>396</v>
      </c>
      <c r="F848" s="11"/>
      <c r="G848" s="11" t="s">
        <v>77</v>
      </c>
      <c r="H848" s="11"/>
      <c r="I848" s="11"/>
      <c r="J848" s="11" t="s">
        <v>343</v>
      </c>
      <c r="K848" s="1" t="s">
        <v>1686</v>
      </c>
      <c r="N848" s="1" t="s">
        <v>1687</v>
      </c>
      <c r="O848" s="1" t="n">
        <f aca="false">'Behovsmodell (75p)'!$B$67</f>
        <v>58231.2</v>
      </c>
      <c r="P848" s="1" t="n">
        <f aca="false">('Behovsmodell (75p)'!$B$67)/12</f>
        <v>4852.6</v>
      </c>
    </row>
    <row r="849" customFormat="false" ht="15" hidden="false" customHeight="true" outlineLevel="0" collapsed="false">
      <c r="A849" s="11" t="s">
        <v>1688</v>
      </c>
      <c r="B849" s="11"/>
      <c r="C849" s="11" t="s">
        <v>339</v>
      </c>
      <c r="D849" s="11"/>
      <c r="E849" s="11" t="s">
        <v>356</v>
      </c>
      <c r="F849" s="11" t="s">
        <v>441</v>
      </c>
      <c r="G849" s="11"/>
      <c r="H849" s="11"/>
      <c r="I849" s="11"/>
      <c r="J849" s="11" t="s">
        <v>343</v>
      </c>
    </row>
    <row r="850" customFormat="false" ht="15" hidden="false" customHeight="true" outlineLevel="0" collapsed="false">
      <c r="A850" s="11" t="s">
        <v>1689</v>
      </c>
      <c r="B850" s="11" t="s">
        <v>338</v>
      </c>
      <c r="C850" s="11" t="s">
        <v>339</v>
      </c>
      <c r="D850" s="11" t="s">
        <v>347</v>
      </c>
      <c r="E850" s="11"/>
      <c r="F850" s="11"/>
      <c r="G850" s="11" t="s">
        <v>31</v>
      </c>
      <c r="H850" s="11"/>
      <c r="I850" s="11"/>
      <c r="J850" s="11" t="s">
        <v>343</v>
      </c>
      <c r="O850" s="1" t="n">
        <f aca="false">'Behovsmodell (75p)'!$B$62</f>
        <v>85559</v>
      </c>
      <c r="P850" s="1" t="n">
        <f aca="false">('Behovsmodell (75p)'!$B$62)/12</f>
        <v>7129.91666666667</v>
      </c>
    </row>
    <row r="851" customFormat="false" ht="15" hidden="false" customHeight="true" outlineLevel="0" collapsed="false">
      <c r="A851" s="11" t="s">
        <v>1690</v>
      </c>
      <c r="B851" s="11" t="s">
        <v>245</v>
      </c>
      <c r="C851" s="11" t="s">
        <v>245</v>
      </c>
      <c r="D851" s="11" t="s">
        <v>395</v>
      </c>
      <c r="E851" s="11" t="s">
        <v>396</v>
      </c>
      <c r="F851" s="11" t="s">
        <v>358</v>
      </c>
      <c r="G851" s="11" t="s">
        <v>129</v>
      </c>
      <c r="H851" s="11"/>
      <c r="I851" s="11"/>
      <c r="J851" s="11" t="s">
        <v>343</v>
      </c>
      <c r="O851" s="1" t="n">
        <f aca="false">'Behovsmodell (75p)'!$B$76</f>
        <v>111099</v>
      </c>
      <c r="P851" s="1" t="n">
        <f aca="false">('Behovsmodell (75p)'!$B$76)/12</f>
        <v>9258.25</v>
      </c>
    </row>
    <row r="852" customFormat="false" ht="15" hidden="false" customHeight="true" outlineLevel="0" collapsed="false">
      <c r="A852" s="11" t="s">
        <v>1691</v>
      </c>
      <c r="B852" s="11" t="s">
        <v>1069</v>
      </c>
      <c r="C852" s="11" t="s">
        <v>414</v>
      </c>
      <c r="D852" s="11"/>
      <c r="E852" s="11" t="s">
        <v>356</v>
      </c>
      <c r="F852" s="11" t="s">
        <v>430</v>
      </c>
      <c r="G852" s="11"/>
      <c r="H852" s="11"/>
      <c r="I852" s="11"/>
      <c r="J852" s="11" t="s">
        <v>343</v>
      </c>
    </row>
    <row r="853" customFormat="false" ht="15" hidden="false" customHeight="true" outlineLevel="0" collapsed="false">
      <c r="A853" s="11" t="s">
        <v>1692</v>
      </c>
      <c r="B853" s="11" t="s">
        <v>744</v>
      </c>
      <c r="C853" s="11" t="s">
        <v>355</v>
      </c>
      <c r="D853" s="11"/>
      <c r="E853" s="11" t="s">
        <v>356</v>
      </c>
      <c r="F853" s="11" t="s">
        <v>358</v>
      </c>
      <c r="G853" s="11"/>
      <c r="H853" s="11"/>
      <c r="I853" s="11"/>
      <c r="J853" s="11" t="s">
        <v>343</v>
      </c>
    </row>
    <row r="854" customFormat="false" ht="15" hidden="false" customHeight="true" outlineLevel="0" collapsed="false">
      <c r="A854" s="11" t="s">
        <v>1693</v>
      </c>
      <c r="B854" s="11"/>
      <c r="C854" s="11" t="s">
        <v>355</v>
      </c>
      <c r="D854" s="11"/>
      <c r="E854" s="11" t="s">
        <v>356</v>
      </c>
      <c r="F854" s="11" t="s">
        <v>353</v>
      </c>
      <c r="G854" s="11"/>
      <c r="H854" s="11"/>
      <c r="I854" s="11"/>
      <c r="J854" s="11" t="s">
        <v>343</v>
      </c>
    </row>
    <row r="855" customFormat="false" ht="15" hidden="false" customHeight="true" outlineLevel="0" collapsed="false">
      <c r="A855" s="11" t="s">
        <v>1694</v>
      </c>
      <c r="B855" s="11"/>
      <c r="C855" s="11" t="s">
        <v>361</v>
      </c>
      <c r="D855" s="11"/>
      <c r="E855" s="11" t="s">
        <v>356</v>
      </c>
      <c r="F855" s="11" t="s">
        <v>358</v>
      </c>
      <c r="G855" s="11"/>
      <c r="H855" s="11"/>
      <c r="I855" s="11"/>
      <c r="J855" s="11" t="s">
        <v>343</v>
      </c>
    </row>
    <row r="856" customFormat="false" ht="15" hidden="false" customHeight="true" outlineLevel="0" collapsed="false">
      <c r="A856" s="11" t="s">
        <v>1695</v>
      </c>
      <c r="B856" s="11"/>
      <c r="C856" s="11" t="s">
        <v>355</v>
      </c>
      <c r="D856" s="11"/>
      <c r="E856" s="11" t="s">
        <v>396</v>
      </c>
      <c r="F856" s="11" t="s">
        <v>656</v>
      </c>
      <c r="G856" s="11"/>
      <c r="H856" s="11"/>
      <c r="I856" s="11"/>
      <c r="J856" s="11" t="s">
        <v>343</v>
      </c>
    </row>
    <row r="857" customFormat="false" ht="15" hidden="false" customHeight="true" outlineLevel="0" collapsed="false">
      <c r="A857" s="11" t="s">
        <v>1696</v>
      </c>
      <c r="B857" s="11" t="s">
        <v>611</v>
      </c>
      <c r="C857" s="11" t="s">
        <v>339</v>
      </c>
      <c r="D857" s="11" t="s">
        <v>340</v>
      </c>
      <c r="E857" s="11" t="s">
        <v>341</v>
      </c>
      <c r="F857" s="11"/>
      <c r="G857" s="11"/>
      <c r="H857" s="11" t="s">
        <v>340</v>
      </c>
      <c r="I857" s="11"/>
      <c r="J857" s="11" t="s">
        <v>343</v>
      </c>
    </row>
    <row r="858" customFormat="false" ht="15" hidden="false" customHeight="true" outlineLevel="0" collapsed="false">
      <c r="A858" s="11" t="s">
        <v>1697</v>
      </c>
      <c r="B858" s="11" t="s">
        <v>1022</v>
      </c>
      <c r="C858" s="11" t="s">
        <v>355</v>
      </c>
      <c r="D858" s="11" t="s">
        <v>366</v>
      </c>
      <c r="E858" s="11" t="s">
        <v>341</v>
      </c>
      <c r="F858" s="11" t="s">
        <v>656</v>
      </c>
      <c r="G858" s="11"/>
      <c r="H858" s="11" t="s">
        <v>366</v>
      </c>
      <c r="I858" s="11"/>
      <c r="J858" s="11" t="s">
        <v>343</v>
      </c>
      <c r="K858" s="1" t="s">
        <v>1698</v>
      </c>
      <c r="L858" s="1" t="s">
        <v>1699</v>
      </c>
      <c r="N858" s="1" t="s">
        <v>1700</v>
      </c>
    </row>
    <row r="859" customFormat="false" ht="15" hidden="false" customHeight="true" outlineLevel="0" collapsed="false">
      <c r="A859" s="11" t="s">
        <v>1701</v>
      </c>
      <c r="B859" s="11" t="s">
        <v>908</v>
      </c>
      <c r="C859" s="11" t="s">
        <v>381</v>
      </c>
      <c r="D859" s="11" t="s">
        <v>375</v>
      </c>
      <c r="E859" s="11" t="s">
        <v>356</v>
      </c>
      <c r="F859" s="11" t="s">
        <v>358</v>
      </c>
      <c r="G859" s="11" t="s">
        <v>68</v>
      </c>
      <c r="H859" s="11"/>
      <c r="I859" s="11"/>
      <c r="J859" s="11" t="s">
        <v>343</v>
      </c>
      <c r="N859" s="1" t="s">
        <v>1702</v>
      </c>
      <c r="O859" s="1" t="n">
        <f aca="false">'Behovsmodell (75p)'!$B$66</f>
        <v>206427.05</v>
      </c>
      <c r="P859" s="1" t="n">
        <f aca="false">('Behovsmodell (75p)'!$B$66)/12</f>
        <v>17202.2541666667</v>
      </c>
    </row>
    <row r="860" customFormat="false" ht="15" hidden="false" customHeight="true" outlineLevel="0" collapsed="false">
      <c r="A860" s="11" t="s">
        <v>1703</v>
      </c>
      <c r="B860" s="11" t="s">
        <v>1013</v>
      </c>
      <c r="C860" s="11" t="s">
        <v>339</v>
      </c>
      <c r="D860" s="11"/>
      <c r="E860" s="11" t="s">
        <v>396</v>
      </c>
      <c r="F860" s="11" t="s">
        <v>1455</v>
      </c>
      <c r="G860" s="11"/>
      <c r="H860" s="11"/>
      <c r="I860" s="11"/>
      <c r="J860" s="11" t="s">
        <v>343</v>
      </c>
    </row>
    <row r="861" customFormat="false" ht="15" hidden="false" customHeight="true" outlineLevel="0" collapsed="false">
      <c r="A861" s="11" t="s">
        <v>1704</v>
      </c>
      <c r="B861" s="11" t="s">
        <v>536</v>
      </c>
      <c r="C861" s="11" t="s">
        <v>536</v>
      </c>
      <c r="D861" s="11" t="s">
        <v>347</v>
      </c>
      <c r="E861" s="11"/>
      <c r="F861" s="11"/>
      <c r="G861" s="11" t="s">
        <v>31</v>
      </c>
      <c r="H861" s="11"/>
      <c r="I861" s="11"/>
      <c r="J861" s="11" t="s">
        <v>343</v>
      </c>
      <c r="O861" s="1" t="n">
        <f aca="false">'Behovsmodell (75p)'!$B$62</f>
        <v>85559</v>
      </c>
      <c r="P861" s="1" t="n">
        <f aca="false">('Behovsmodell (75p)'!$B$62)/12</f>
        <v>7129.91666666667</v>
      </c>
    </row>
    <row r="862" customFormat="false" ht="15" hidden="false" customHeight="true" outlineLevel="0" collapsed="false">
      <c r="A862" s="11" t="s">
        <v>1705</v>
      </c>
      <c r="B862" s="11" t="s">
        <v>668</v>
      </c>
      <c r="C862" s="11" t="s">
        <v>355</v>
      </c>
      <c r="D862" s="11" t="s">
        <v>347</v>
      </c>
      <c r="E862" s="11"/>
      <c r="F862" s="11" t="s">
        <v>353</v>
      </c>
      <c r="G862" s="11" t="s">
        <v>31</v>
      </c>
      <c r="H862" s="11"/>
      <c r="I862" s="11"/>
      <c r="J862" s="11" t="s">
        <v>343</v>
      </c>
      <c r="O862" s="1" t="n">
        <f aca="false">'Behovsmodell (75p)'!$B$62</f>
        <v>85559</v>
      </c>
      <c r="P862" s="1" t="n">
        <f aca="false">('Behovsmodell (75p)'!$B$62)/12</f>
        <v>7129.91666666667</v>
      </c>
    </row>
    <row r="863" customFormat="false" ht="15" hidden="false" customHeight="true" outlineLevel="0" collapsed="false">
      <c r="A863" s="11" t="s">
        <v>1706</v>
      </c>
      <c r="B863" s="11" t="s">
        <v>345</v>
      </c>
      <c r="C863" s="11" t="s">
        <v>346</v>
      </c>
      <c r="D863" s="11" t="s">
        <v>347</v>
      </c>
      <c r="E863" s="11" t="s">
        <v>396</v>
      </c>
      <c r="F863" s="11" t="s">
        <v>1445</v>
      </c>
      <c r="G863" s="11" t="s">
        <v>31</v>
      </c>
      <c r="H863" s="11"/>
      <c r="I863" s="11"/>
      <c r="J863" s="11" t="s">
        <v>343</v>
      </c>
      <c r="O863" s="1" t="n">
        <f aca="false">'Behovsmodell (75p)'!$B$62</f>
        <v>85559</v>
      </c>
      <c r="P863" s="1" t="n">
        <f aca="false">('Behovsmodell (75p)'!$B$62)/12</f>
        <v>7129.91666666667</v>
      </c>
    </row>
    <row r="864" customFormat="false" ht="15" hidden="false" customHeight="true" outlineLevel="0" collapsed="false">
      <c r="A864" s="11" t="s">
        <v>1707</v>
      </c>
      <c r="B864" s="11"/>
      <c r="C864" s="11" t="s">
        <v>346</v>
      </c>
      <c r="D864" s="11" t="s">
        <v>347</v>
      </c>
      <c r="E864" s="11"/>
      <c r="F864" s="11" t="s">
        <v>353</v>
      </c>
      <c r="G864" s="11" t="s">
        <v>31</v>
      </c>
      <c r="H864" s="11"/>
      <c r="I864" s="11"/>
      <c r="J864" s="11" t="s">
        <v>343</v>
      </c>
      <c r="O864" s="1" t="n">
        <f aca="false">'Behovsmodell (75p)'!$B$62</f>
        <v>85559</v>
      </c>
      <c r="P864" s="1" t="n">
        <f aca="false">('Behovsmodell (75p)'!$B$62)/12</f>
        <v>7129.91666666667</v>
      </c>
    </row>
    <row r="865" customFormat="false" ht="15" hidden="false" customHeight="true" outlineLevel="0" collapsed="false">
      <c r="A865" s="11" t="s">
        <v>1708</v>
      </c>
      <c r="B865" s="11" t="s">
        <v>1709</v>
      </c>
      <c r="C865" s="11" t="s">
        <v>536</v>
      </c>
      <c r="D865" s="11" t="s">
        <v>366</v>
      </c>
      <c r="E865" s="11" t="s">
        <v>341</v>
      </c>
      <c r="F865" s="11"/>
      <c r="G865" s="11"/>
      <c r="H865" s="11" t="s">
        <v>366</v>
      </c>
      <c r="I865" s="11"/>
      <c r="J865" s="11" t="s">
        <v>343</v>
      </c>
    </row>
    <row r="866" customFormat="false" ht="15" hidden="false" customHeight="true" outlineLevel="0" collapsed="false">
      <c r="A866" s="11" t="s">
        <v>1710</v>
      </c>
      <c r="B866" s="11" t="s">
        <v>437</v>
      </c>
      <c r="C866" s="11" t="s">
        <v>361</v>
      </c>
      <c r="D866" s="11"/>
      <c r="E866" s="11" t="s">
        <v>356</v>
      </c>
      <c r="F866" s="11"/>
      <c r="G866" s="11"/>
      <c r="H866" s="11"/>
      <c r="I866" s="11"/>
      <c r="J866" s="11" t="s">
        <v>343</v>
      </c>
      <c r="K866" s="1" t="s">
        <v>1711</v>
      </c>
      <c r="N866" s="1" t="s">
        <v>1712</v>
      </c>
    </row>
    <row r="867" customFormat="false" ht="15" hidden="false" customHeight="true" outlineLevel="0" collapsed="false">
      <c r="A867" s="11" t="s">
        <v>1713</v>
      </c>
      <c r="B867" s="11"/>
      <c r="C867" s="11" t="s">
        <v>355</v>
      </c>
      <c r="D867" s="11"/>
      <c r="E867" s="11" t="s">
        <v>396</v>
      </c>
      <c r="F867" s="11" t="s">
        <v>1714</v>
      </c>
      <c r="G867" s="11"/>
      <c r="H867" s="11"/>
      <c r="I867" s="11"/>
      <c r="J867" s="11" t="s">
        <v>343</v>
      </c>
    </row>
    <row r="868" customFormat="false" ht="15" hidden="false" customHeight="true" outlineLevel="0" collapsed="false">
      <c r="A868" s="11" t="s">
        <v>1715</v>
      </c>
      <c r="B868" s="11" t="s">
        <v>1296</v>
      </c>
      <c r="C868" s="11" t="s">
        <v>381</v>
      </c>
      <c r="D868" s="11"/>
      <c r="E868" s="11" t="s">
        <v>356</v>
      </c>
      <c r="F868" s="11" t="s">
        <v>353</v>
      </c>
      <c r="G868" s="11"/>
      <c r="H868" s="11"/>
      <c r="I868" s="11"/>
      <c r="J868" s="11" t="s">
        <v>343</v>
      </c>
    </row>
    <row r="869" customFormat="false" ht="15" hidden="false" customHeight="true" outlineLevel="0" collapsed="false">
      <c r="A869" s="11" t="s">
        <v>1716</v>
      </c>
      <c r="B869" s="11" t="s">
        <v>338</v>
      </c>
      <c r="C869" s="11" t="s">
        <v>339</v>
      </c>
      <c r="D869" s="11" t="s">
        <v>1717</v>
      </c>
      <c r="E869" s="11" t="s">
        <v>341</v>
      </c>
      <c r="F869" s="11" t="s">
        <v>358</v>
      </c>
      <c r="G869" s="11" t="s">
        <v>68</v>
      </c>
      <c r="H869" s="11" t="s">
        <v>340</v>
      </c>
      <c r="I869" s="11"/>
      <c r="J869" s="11" t="s">
        <v>343</v>
      </c>
      <c r="O869" s="1" t="n">
        <f aca="false">'Behovsmodell (75p)'!$B$66</f>
        <v>206427.05</v>
      </c>
      <c r="P869" s="1" t="n">
        <f aca="false">('Behovsmodell (75p)'!$B$66)/12</f>
        <v>17202.2541666667</v>
      </c>
    </row>
    <row r="870" customFormat="false" ht="15" hidden="false" customHeight="true" outlineLevel="0" collapsed="false">
      <c r="A870" s="11" t="s">
        <v>1718</v>
      </c>
      <c r="B870" s="11"/>
      <c r="C870" s="11" t="s">
        <v>339</v>
      </c>
      <c r="D870" s="11"/>
      <c r="E870" s="11" t="s">
        <v>356</v>
      </c>
      <c r="F870" s="11" t="s">
        <v>447</v>
      </c>
      <c r="G870" s="11"/>
      <c r="H870" s="11"/>
      <c r="I870" s="11"/>
      <c r="J870" s="11" t="s">
        <v>343</v>
      </c>
    </row>
    <row r="871" customFormat="false" ht="15" hidden="false" customHeight="true" outlineLevel="0" collapsed="false">
      <c r="A871" s="11" t="s">
        <v>1719</v>
      </c>
      <c r="B871" s="11" t="s">
        <v>446</v>
      </c>
      <c r="C871" s="11" t="s">
        <v>346</v>
      </c>
      <c r="D871" s="11"/>
      <c r="E871" s="11" t="s">
        <v>356</v>
      </c>
      <c r="F871" s="11"/>
      <c r="G871" s="11"/>
      <c r="H871" s="11"/>
      <c r="I871" s="11"/>
      <c r="J871" s="11" t="s">
        <v>343</v>
      </c>
      <c r="K871" s="1" t="s">
        <v>1720</v>
      </c>
      <c r="L871" s="1" t="s">
        <v>1721</v>
      </c>
      <c r="M871" s="1" t="s">
        <v>1722</v>
      </c>
      <c r="N871" s="1" t="s">
        <v>1723</v>
      </c>
    </row>
    <row r="872" customFormat="false" ht="15" hidden="false" customHeight="true" outlineLevel="0" collapsed="false">
      <c r="A872" s="11" t="s">
        <v>1724</v>
      </c>
      <c r="B872" s="11" t="s">
        <v>1296</v>
      </c>
      <c r="C872" s="11" t="s">
        <v>381</v>
      </c>
      <c r="D872" s="11"/>
      <c r="E872" s="11" t="s">
        <v>396</v>
      </c>
      <c r="F872" s="11"/>
      <c r="G872" s="11"/>
      <c r="H872" s="11"/>
      <c r="I872" s="11"/>
      <c r="J872" s="11" t="s">
        <v>343</v>
      </c>
    </row>
    <row r="873" customFormat="false" ht="15" hidden="false" customHeight="true" outlineLevel="0" collapsed="false">
      <c r="A873" s="11" t="s">
        <v>1725</v>
      </c>
      <c r="B873" s="11"/>
      <c r="C873" s="11" t="s">
        <v>339</v>
      </c>
      <c r="D873" s="11"/>
      <c r="E873" s="11" t="s">
        <v>356</v>
      </c>
      <c r="F873" s="11" t="s">
        <v>358</v>
      </c>
      <c r="G873" s="11"/>
      <c r="H873" s="11"/>
      <c r="I873" s="11"/>
      <c r="J873" s="11" t="s">
        <v>343</v>
      </c>
    </row>
    <row r="874" customFormat="false" ht="15" hidden="false" customHeight="true" outlineLevel="0" collapsed="false">
      <c r="A874" s="11" t="s">
        <v>1726</v>
      </c>
      <c r="B874" s="11"/>
      <c r="C874" s="11" t="s">
        <v>355</v>
      </c>
      <c r="D874" s="11" t="s">
        <v>347</v>
      </c>
      <c r="E874" s="11"/>
      <c r="F874" s="11" t="s">
        <v>656</v>
      </c>
      <c r="G874" s="11" t="s">
        <v>31</v>
      </c>
      <c r="H874" s="11"/>
      <c r="I874" s="11"/>
      <c r="J874" s="11" t="s">
        <v>343</v>
      </c>
      <c r="O874" s="1" t="n">
        <f aca="false">'Behovsmodell (75p)'!$B$62</f>
        <v>85559</v>
      </c>
      <c r="P874" s="1" t="n">
        <f aca="false">('Behovsmodell (75p)'!$B$62)/12</f>
        <v>7129.91666666667</v>
      </c>
    </row>
    <row r="875" customFormat="false" ht="15" hidden="false" customHeight="true" outlineLevel="0" collapsed="false">
      <c r="A875" s="11" t="s">
        <v>1727</v>
      </c>
      <c r="B875" s="11" t="s">
        <v>597</v>
      </c>
      <c r="C875" s="11" t="s">
        <v>597</v>
      </c>
      <c r="D875" s="11" t="s">
        <v>340</v>
      </c>
      <c r="E875" s="11" t="s">
        <v>341</v>
      </c>
      <c r="F875" s="11" t="s">
        <v>342</v>
      </c>
      <c r="G875" s="11"/>
      <c r="H875" s="11" t="s">
        <v>340</v>
      </c>
      <c r="I875" s="11"/>
      <c r="J875" s="11" t="s">
        <v>343</v>
      </c>
    </row>
    <row r="876" customFormat="false" ht="15" hidden="false" customHeight="true" outlineLevel="0" collapsed="false">
      <c r="A876" s="11" t="s">
        <v>1728</v>
      </c>
      <c r="B876" s="11"/>
      <c r="C876" s="11" t="s">
        <v>339</v>
      </c>
      <c r="D876" s="11"/>
      <c r="E876" s="11" t="s">
        <v>356</v>
      </c>
      <c r="F876" s="11" t="s">
        <v>353</v>
      </c>
      <c r="G876" s="11"/>
      <c r="H876" s="11"/>
      <c r="I876" s="11"/>
      <c r="J876" s="11" t="s">
        <v>343</v>
      </c>
    </row>
    <row r="877" customFormat="false" ht="15" hidden="false" customHeight="true" outlineLevel="0" collapsed="false">
      <c r="A877" s="11" t="s">
        <v>1729</v>
      </c>
      <c r="B877" s="11" t="s">
        <v>388</v>
      </c>
      <c r="C877" s="11" t="s">
        <v>388</v>
      </c>
      <c r="D877" s="11" t="s">
        <v>347</v>
      </c>
      <c r="E877" s="11" t="s">
        <v>356</v>
      </c>
      <c r="F877" s="11" t="s">
        <v>358</v>
      </c>
      <c r="G877" s="11" t="s">
        <v>31</v>
      </c>
      <c r="H877" s="11"/>
      <c r="I877" s="11"/>
      <c r="J877" s="11" t="s">
        <v>343</v>
      </c>
      <c r="O877" s="1" t="n">
        <f aca="false">'Behovsmodell (75p)'!$B$62</f>
        <v>85559</v>
      </c>
      <c r="P877" s="1" t="n">
        <f aca="false">('Behovsmodell (75p)'!$B$62)/12</f>
        <v>7129.91666666667</v>
      </c>
    </row>
    <row r="878" customFormat="false" ht="15" hidden="false" customHeight="true" outlineLevel="0" collapsed="false">
      <c r="A878" s="11" t="s">
        <v>1730</v>
      </c>
      <c r="B878" s="11" t="s">
        <v>433</v>
      </c>
      <c r="C878" s="11" t="s">
        <v>346</v>
      </c>
      <c r="D878" s="11"/>
      <c r="E878" s="11" t="s">
        <v>356</v>
      </c>
      <c r="F878" s="11" t="s">
        <v>358</v>
      </c>
      <c r="G878" s="11"/>
      <c r="H878" s="11"/>
      <c r="I878" s="11"/>
      <c r="J878" s="11" t="s">
        <v>343</v>
      </c>
    </row>
    <row r="879" customFormat="false" ht="15" hidden="false" customHeight="true" outlineLevel="0" collapsed="false">
      <c r="A879" s="11" t="s">
        <v>1731</v>
      </c>
      <c r="B879" s="11"/>
      <c r="C879" s="11" t="s">
        <v>245</v>
      </c>
      <c r="D879" s="11"/>
      <c r="E879" s="11" t="s">
        <v>356</v>
      </c>
      <c r="F879" s="11"/>
      <c r="G879" s="11"/>
      <c r="H879" s="11"/>
      <c r="I879" s="11"/>
      <c r="J879" s="11" t="s">
        <v>343</v>
      </c>
      <c r="L879" s="1" t="s">
        <v>1732</v>
      </c>
      <c r="N879" s="1" t="s">
        <v>1733</v>
      </c>
    </row>
    <row r="880" customFormat="false" ht="15" hidden="false" customHeight="true" outlineLevel="0" collapsed="false">
      <c r="A880" s="11" t="s">
        <v>1734</v>
      </c>
      <c r="B880" s="11"/>
      <c r="C880" s="11" t="s">
        <v>339</v>
      </c>
      <c r="D880" s="11" t="s">
        <v>375</v>
      </c>
      <c r="E880" s="11" t="s">
        <v>396</v>
      </c>
      <c r="F880" s="11" t="s">
        <v>593</v>
      </c>
      <c r="G880" s="11" t="s">
        <v>68</v>
      </c>
      <c r="H880" s="11"/>
      <c r="I880" s="11"/>
      <c r="J880" s="11" t="s">
        <v>343</v>
      </c>
      <c r="O880" s="1" t="n">
        <f aca="false">'Behovsmodell (75p)'!$B$66</f>
        <v>206427.05</v>
      </c>
      <c r="P880" s="1" t="n">
        <f aca="false">('Behovsmodell (75p)'!$B$66)/12</f>
        <v>17202.2541666667</v>
      </c>
    </row>
    <row r="881" customFormat="false" ht="15" hidden="false" customHeight="true" outlineLevel="0" collapsed="false">
      <c r="A881" s="11" t="s">
        <v>1735</v>
      </c>
      <c r="B881" s="11"/>
      <c r="C881" s="11" t="s">
        <v>339</v>
      </c>
      <c r="D881" s="11"/>
      <c r="E881" s="11" t="s">
        <v>396</v>
      </c>
      <c r="F881" s="11"/>
      <c r="G881" s="11"/>
      <c r="H881" s="11"/>
      <c r="I881" s="11"/>
      <c r="J881" s="11" t="s">
        <v>343</v>
      </c>
    </row>
    <row r="882" customFormat="false" ht="15" hidden="false" customHeight="true" outlineLevel="0" collapsed="false">
      <c r="A882" s="11" t="s">
        <v>1736</v>
      </c>
      <c r="B882" s="11" t="s">
        <v>444</v>
      </c>
      <c r="C882" s="11" t="s">
        <v>355</v>
      </c>
      <c r="D882" s="11" t="s">
        <v>347</v>
      </c>
      <c r="E882" s="11" t="s">
        <v>356</v>
      </c>
      <c r="F882" s="11" t="s">
        <v>353</v>
      </c>
      <c r="G882" s="11" t="s">
        <v>31</v>
      </c>
      <c r="H882" s="11"/>
      <c r="I882" s="11"/>
      <c r="J882" s="11" t="s">
        <v>343</v>
      </c>
      <c r="O882" s="1" t="n">
        <f aca="false">'Behovsmodell (75p)'!$B$62</f>
        <v>85559</v>
      </c>
      <c r="P882" s="1" t="n">
        <f aca="false">('Behovsmodell (75p)'!$B$62)/12</f>
        <v>7129.91666666667</v>
      </c>
    </row>
    <row r="883" customFormat="false" ht="15" hidden="false" customHeight="true" outlineLevel="0" collapsed="false">
      <c r="A883" s="11" t="s">
        <v>1737</v>
      </c>
      <c r="B883" s="11" t="s">
        <v>456</v>
      </c>
      <c r="C883" s="11" t="s">
        <v>457</v>
      </c>
      <c r="D883" s="11" t="s">
        <v>340</v>
      </c>
      <c r="E883" s="11" t="s">
        <v>341</v>
      </c>
      <c r="F883" s="11"/>
      <c r="G883" s="11"/>
      <c r="H883" s="11" t="s">
        <v>340</v>
      </c>
      <c r="I883" s="11"/>
      <c r="J883" s="11" t="s">
        <v>343</v>
      </c>
    </row>
    <row r="884" customFormat="false" ht="15" hidden="false" customHeight="true" outlineLevel="0" collapsed="false">
      <c r="A884" s="11" t="s">
        <v>1737</v>
      </c>
      <c r="B884" s="11"/>
      <c r="C884" s="11" t="s">
        <v>355</v>
      </c>
      <c r="D884" s="11" t="s">
        <v>340</v>
      </c>
      <c r="E884" s="11" t="s">
        <v>341</v>
      </c>
      <c r="F884" s="11"/>
      <c r="G884" s="11"/>
      <c r="H884" s="11" t="s">
        <v>340</v>
      </c>
      <c r="I884" s="11"/>
      <c r="J884" s="11" t="s">
        <v>343</v>
      </c>
    </row>
    <row r="885" customFormat="false" ht="15" hidden="false" customHeight="true" outlineLevel="0" collapsed="false">
      <c r="A885" s="11" t="s">
        <v>1738</v>
      </c>
      <c r="B885" s="11"/>
      <c r="C885" s="11" t="s">
        <v>339</v>
      </c>
      <c r="D885" s="11"/>
      <c r="E885" s="11"/>
      <c r="F885" s="11" t="s">
        <v>353</v>
      </c>
      <c r="G885" s="11"/>
      <c r="H885" s="11"/>
      <c r="I885" s="11"/>
      <c r="J885" s="11" t="s">
        <v>343</v>
      </c>
    </row>
    <row r="886" customFormat="false" ht="15" hidden="false" customHeight="true" outlineLevel="0" collapsed="false">
      <c r="A886" s="11" t="s">
        <v>1739</v>
      </c>
      <c r="B886" s="11"/>
      <c r="C886" s="11" t="s">
        <v>351</v>
      </c>
      <c r="D886" s="11"/>
      <c r="E886" s="11" t="s">
        <v>356</v>
      </c>
      <c r="F886" s="11" t="s">
        <v>915</v>
      </c>
      <c r="G886" s="11"/>
      <c r="H886" s="11"/>
      <c r="I886" s="11"/>
      <c r="J886" s="11" t="s">
        <v>343</v>
      </c>
    </row>
    <row r="887" customFormat="false" ht="15" hidden="false" customHeight="true" outlineLevel="0" collapsed="false">
      <c r="A887" s="11" t="s">
        <v>1740</v>
      </c>
      <c r="B887" s="11" t="s">
        <v>338</v>
      </c>
      <c r="C887" s="11" t="s">
        <v>339</v>
      </c>
      <c r="D887" s="11" t="s">
        <v>340</v>
      </c>
      <c r="E887" s="11" t="s">
        <v>341</v>
      </c>
      <c r="F887" s="11" t="s">
        <v>1178</v>
      </c>
      <c r="G887" s="11"/>
      <c r="H887" s="11" t="s">
        <v>340</v>
      </c>
      <c r="I887" s="11"/>
      <c r="J887" s="11" t="s">
        <v>343</v>
      </c>
    </row>
    <row r="888" customFormat="false" ht="15" hidden="false" customHeight="true" outlineLevel="0" collapsed="false">
      <c r="A888" s="11" t="s">
        <v>1741</v>
      </c>
      <c r="B888" s="11" t="s">
        <v>936</v>
      </c>
      <c r="C888" s="11" t="s">
        <v>457</v>
      </c>
      <c r="D888" s="11" t="s">
        <v>366</v>
      </c>
      <c r="E888" s="11" t="s">
        <v>341</v>
      </c>
      <c r="F888" s="11" t="s">
        <v>613</v>
      </c>
      <c r="G888" s="11"/>
      <c r="H888" s="11" t="s">
        <v>366</v>
      </c>
      <c r="I888" s="11"/>
      <c r="J888" s="11" t="s">
        <v>343</v>
      </c>
    </row>
    <row r="889" customFormat="false" ht="15" hidden="false" customHeight="true" outlineLevel="0" collapsed="false">
      <c r="A889" s="11" t="s">
        <v>1741</v>
      </c>
      <c r="B889" s="11"/>
      <c r="C889" s="11" t="s">
        <v>355</v>
      </c>
      <c r="D889" s="11" t="s">
        <v>366</v>
      </c>
      <c r="E889" s="11" t="s">
        <v>341</v>
      </c>
      <c r="F889" s="11" t="s">
        <v>613</v>
      </c>
      <c r="G889" s="11"/>
      <c r="H889" s="11" t="s">
        <v>366</v>
      </c>
      <c r="I889" s="11"/>
      <c r="J889" s="11" t="s">
        <v>343</v>
      </c>
    </row>
    <row r="890" customFormat="false" ht="15" hidden="false" customHeight="true" outlineLevel="0" collapsed="false">
      <c r="A890" s="11" t="s">
        <v>1741</v>
      </c>
      <c r="B890" s="11"/>
      <c r="C890" s="11" t="s">
        <v>339</v>
      </c>
      <c r="D890" s="11" t="s">
        <v>366</v>
      </c>
      <c r="E890" s="11" t="s">
        <v>341</v>
      </c>
      <c r="F890" s="11" t="s">
        <v>613</v>
      </c>
      <c r="G890" s="11"/>
      <c r="H890" s="11" t="s">
        <v>366</v>
      </c>
      <c r="I890" s="11"/>
      <c r="J890" s="11" t="s">
        <v>343</v>
      </c>
    </row>
    <row r="891" customFormat="false" ht="15" hidden="false" customHeight="true" outlineLevel="0" collapsed="false">
      <c r="A891" s="11" t="s">
        <v>1742</v>
      </c>
      <c r="B891" s="11" t="s">
        <v>408</v>
      </c>
      <c r="C891" s="11" t="s">
        <v>355</v>
      </c>
      <c r="D891" s="11" t="s">
        <v>340</v>
      </c>
      <c r="E891" s="11" t="s">
        <v>341</v>
      </c>
      <c r="F891" s="11" t="s">
        <v>358</v>
      </c>
      <c r="G891" s="11"/>
      <c r="H891" s="11" t="s">
        <v>340</v>
      </c>
      <c r="I891" s="11"/>
      <c r="J891" s="11" t="s">
        <v>343</v>
      </c>
    </row>
    <row r="892" customFormat="false" ht="15" hidden="false" customHeight="true" outlineLevel="0" collapsed="false">
      <c r="A892" s="11" t="s">
        <v>1743</v>
      </c>
      <c r="B892" s="11" t="s">
        <v>338</v>
      </c>
      <c r="C892" s="11" t="s">
        <v>339</v>
      </c>
      <c r="D892" s="11" t="s">
        <v>352</v>
      </c>
      <c r="E892" s="11"/>
      <c r="F892" s="11" t="s">
        <v>441</v>
      </c>
      <c r="G892" s="11" t="s">
        <v>84</v>
      </c>
      <c r="H892" s="11"/>
      <c r="I892" s="11"/>
      <c r="J892" s="11" t="s">
        <v>343</v>
      </c>
      <c r="O892" s="1" t="n">
        <f aca="false">'Behovsmodell (75p)'!$B$68</f>
        <v>330040.65</v>
      </c>
      <c r="P892" s="1" t="n">
        <f aca="false">('Behovsmodell (75p)'!$B$68)/12</f>
        <v>27503.3875</v>
      </c>
    </row>
    <row r="893" customFormat="false" ht="15" hidden="false" customHeight="true" outlineLevel="0" collapsed="false">
      <c r="A893" s="11" t="s">
        <v>1744</v>
      </c>
      <c r="B893" s="11" t="s">
        <v>528</v>
      </c>
      <c r="C893" s="11" t="s">
        <v>355</v>
      </c>
      <c r="D893" s="11" t="s">
        <v>347</v>
      </c>
      <c r="E893" s="11" t="s">
        <v>356</v>
      </c>
      <c r="F893" s="11" t="s">
        <v>358</v>
      </c>
      <c r="G893" s="11" t="s">
        <v>31</v>
      </c>
      <c r="H893" s="11"/>
      <c r="I893" s="11"/>
      <c r="J893" s="11" t="s">
        <v>343</v>
      </c>
      <c r="K893" s="1" t="s">
        <v>1745</v>
      </c>
      <c r="L893" s="1" t="s">
        <v>1746</v>
      </c>
      <c r="M893" s="1" t="s">
        <v>1747</v>
      </c>
      <c r="N893" s="1" t="s">
        <v>1748</v>
      </c>
      <c r="O893" s="1" t="n">
        <f aca="false">'Behovsmodell (75p)'!$B$62</f>
        <v>85559</v>
      </c>
      <c r="P893" s="1" t="n">
        <f aca="false">('Behovsmodell (75p)'!$B$62)/12</f>
        <v>7129.91666666667</v>
      </c>
    </row>
    <row r="894" customFormat="false" ht="15" hidden="false" customHeight="true" outlineLevel="0" collapsed="false">
      <c r="A894" s="11" t="s">
        <v>1749</v>
      </c>
      <c r="B894" s="11" t="s">
        <v>860</v>
      </c>
      <c r="C894" s="11" t="s">
        <v>381</v>
      </c>
      <c r="D894" s="11"/>
      <c r="E894" s="11" t="s">
        <v>356</v>
      </c>
      <c r="F894" s="11"/>
      <c r="G894" s="11"/>
      <c r="H894" s="11"/>
      <c r="I894" s="11"/>
      <c r="J894" s="11" t="s">
        <v>343</v>
      </c>
    </row>
    <row r="895" customFormat="false" ht="15" hidden="false" customHeight="true" outlineLevel="0" collapsed="false">
      <c r="A895" s="11" t="s">
        <v>1750</v>
      </c>
      <c r="B895" s="11" t="s">
        <v>828</v>
      </c>
      <c r="C895" s="11" t="s">
        <v>339</v>
      </c>
      <c r="D895" s="11" t="s">
        <v>375</v>
      </c>
      <c r="E895" s="11" t="s">
        <v>356</v>
      </c>
      <c r="F895" s="11" t="s">
        <v>358</v>
      </c>
      <c r="G895" s="11" t="s">
        <v>68</v>
      </c>
      <c r="H895" s="11"/>
      <c r="I895" s="11"/>
      <c r="J895" s="11" t="s">
        <v>343</v>
      </c>
      <c r="K895" s="1" t="s">
        <v>1751</v>
      </c>
      <c r="L895" s="1" t="s">
        <v>1752</v>
      </c>
      <c r="M895" s="1" t="s">
        <v>1753</v>
      </c>
      <c r="N895" s="1" t="s">
        <v>1754</v>
      </c>
      <c r="O895" s="1" t="n">
        <f aca="false">'Behovsmodell (75p)'!$B$66</f>
        <v>206427.05</v>
      </c>
      <c r="P895" s="1" t="n">
        <f aca="false">('Behovsmodell (75p)'!$B$66)/12</f>
        <v>17202.2541666667</v>
      </c>
    </row>
    <row r="896" customFormat="false" ht="15" hidden="false" customHeight="true" outlineLevel="0" collapsed="false">
      <c r="A896" s="11" t="s">
        <v>1755</v>
      </c>
      <c r="B896" s="11" t="s">
        <v>926</v>
      </c>
      <c r="C896" s="11" t="s">
        <v>536</v>
      </c>
      <c r="D896" s="11" t="s">
        <v>366</v>
      </c>
      <c r="E896" s="11" t="s">
        <v>341</v>
      </c>
      <c r="F896" s="11" t="s">
        <v>358</v>
      </c>
      <c r="G896" s="11"/>
      <c r="H896" s="11" t="s">
        <v>366</v>
      </c>
      <c r="I896" s="11"/>
      <c r="J896" s="11" t="s">
        <v>343</v>
      </c>
    </row>
    <row r="897" customFormat="false" ht="15" hidden="false" customHeight="true" outlineLevel="0" collapsed="false">
      <c r="A897" s="11" t="s">
        <v>1756</v>
      </c>
      <c r="B897" s="11"/>
      <c r="C897" s="11" t="s">
        <v>346</v>
      </c>
      <c r="D897" s="11"/>
      <c r="E897" s="11" t="s">
        <v>356</v>
      </c>
      <c r="F897" s="11"/>
      <c r="G897" s="11"/>
      <c r="H897" s="11"/>
      <c r="I897" s="11"/>
      <c r="J897" s="11" t="s">
        <v>343</v>
      </c>
      <c r="N897" s="1" t="s">
        <v>1757</v>
      </c>
    </row>
    <row r="898" customFormat="false" ht="15" hidden="false" customHeight="true" outlineLevel="0" collapsed="false">
      <c r="A898" s="11" t="s">
        <v>1758</v>
      </c>
      <c r="B898" s="11" t="s">
        <v>536</v>
      </c>
      <c r="C898" s="11" t="s">
        <v>536</v>
      </c>
      <c r="D898" s="11" t="s">
        <v>375</v>
      </c>
      <c r="E898" s="11" t="s">
        <v>356</v>
      </c>
      <c r="F898" s="11" t="s">
        <v>358</v>
      </c>
      <c r="G898" s="11" t="s">
        <v>68</v>
      </c>
      <c r="H898" s="11"/>
      <c r="I898" s="11"/>
      <c r="J898" s="11" t="s">
        <v>343</v>
      </c>
      <c r="K898" s="1" t="s">
        <v>1419</v>
      </c>
      <c r="L898" s="1" t="s">
        <v>1420</v>
      </c>
      <c r="N898" s="1" t="s">
        <v>1421</v>
      </c>
      <c r="O898" s="1" t="n">
        <f aca="false">'Behovsmodell (75p)'!$B$66</f>
        <v>206427.05</v>
      </c>
      <c r="P898" s="1" t="n">
        <f aca="false">('Behovsmodell (75p)'!$B$66)/12</f>
        <v>17202.2541666667</v>
      </c>
    </row>
    <row r="899" customFormat="false" ht="15" hidden="false" customHeight="true" outlineLevel="0" collapsed="false">
      <c r="A899" s="11" t="s">
        <v>1759</v>
      </c>
      <c r="B899" s="11" t="s">
        <v>338</v>
      </c>
      <c r="C899" s="11" t="s">
        <v>339</v>
      </c>
      <c r="D899" s="11" t="s">
        <v>366</v>
      </c>
      <c r="E899" s="11" t="s">
        <v>341</v>
      </c>
      <c r="F899" s="11" t="s">
        <v>1760</v>
      </c>
      <c r="G899" s="11"/>
      <c r="H899" s="11" t="s">
        <v>366</v>
      </c>
      <c r="I899" s="11"/>
      <c r="J899" s="11" t="s">
        <v>343</v>
      </c>
    </row>
    <row r="900" customFormat="false" ht="15" hidden="false" customHeight="true" outlineLevel="0" collapsed="false">
      <c r="A900" s="11" t="s">
        <v>1761</v>
      </c>
      <c r="B900" s="11"/>
      <c r="C900" s="11" t="s">
        <v>457</v>
      </c>
      <c r="D900" s="11" t="s">
        <v>366</v>
      </c>
      <c r="E900" s="11" t="s">
        <v>341</v>
      </c>
      <c r="F900" s="11"/>
      <c r="G900" s="11"/>
      <c r="H900" s="11" t="s">
        <v>366</v>
      </c>
      <c r="I900" s="11"/>
      <c r="J900" s="11" t="s">
        <v>343</v>
      </c>
    </row>
    <row r="901" customFormat="false" ht="15" hidden="false" customHeight="true" outlineLevel="0" collapsed="false">
      <c r="A901" s="11" t="s">
        <v>1761</v>
      </c>
      <c r="B901" s="11"/>
      <c r="C901" s="11" t="s">
        <v>355</v>
      </c>
      <c r="D901" s="11" t="s">
        <v>366</v>
      </c>
      <c r="E901" s="11" t="s">
        <v>341</v>
      </c>
      <c r="F901" s="11"/>
      <c r="G901" s="11"/>
      <c r="H901" s="11" t="s">
        <v>366</v>
      </c>
      <c r="I901" s="11"/>
      <c r="J901" s="11" t="s">
        <v>343</v>
      </c>
    </row>
    <row r="902" customFormat="false" ht="15" hidden="false" customHeight="true" outlineLevel="0" collapsed="false">
      <c r="A902" s="11" t="s">
        <v>1761</v>
      </c>
      <c r="B902" s="11"/>
      <c r="C902" s="11" t="s">
        <v>339</v>
      </c>
      <c r="D902" s="11" t="s">
        <v>366</v>
      </c>
      <c r="E902" s="11" t="s">
        <v>341</v>
      </c>
      <c r="F902" s="11"/>
      <c r="G902" s="11"/>
      <c r="H902" s="11" t="s">
        <v>366</v>
      </c>
      <c r="I902" s="11"/>
      <c r="J902" s="11" t="s">
        <v>343</v>
      </c>
    </row>
    <row r="903" customFormat="false" ht="15" hidden="false" customHeight="true" outlineLevel="0" collapsed="false">
      <c r="A903" s="11" t="s">
        <v>1762</v>
      </c>
      <c r="B903" s="11" t="s">
        <v>522</v>
      </c>
      <c r="C903" s="11" t="s">
        <v>351</v>
      </c>
      <c r="D903" s="11" t="s">
        <v>366</v>
      </c>
      <c r="E903" s="11" t="s">
        <v>396</v>
      </c>
      <c r="F903" s="11"/>
      <c r="G903" s="11"/>
      <c r="H903" s="11" t="s">
        <v>366</v>
      </c>
      <c r="I903" s="11"/>
      <c r="J903" s="11" t="s">
        <v>343</v>
      </c>
    </row>
    <row r="904" customFormat="false" ht="15" hidden="false" customHeight="true" outlineLevel="0" collapsed="false">
      <c r="A904" s="11" t="s">
        <v>1763</v>
      </c>
      <c r="B904" s="11"/>
      <c r="C904" s="11" t="s">
        <v>597</v>
      </c>
      <c r="D904" s="11" t="s">
        <v>366</v>
      </c>
      <c r="E904" s="11" t="s">
        <v>341</v>
      </c>
      <c r="F904" s="11"/>
      <c r="G904" s="11"/>
      <c r="H904" s="11" t="s">
        <v>366</v>
      </c>
      <c r="I904" s="11"/>
      <c r="J904" s="11" t="s">
        <v>343</v>
      </c>
    </row>
    <row r="905" customFormat="false" ht="15" hidden="false" customHeight="true" outlineLevel="0" collapsed="false">
      <c r="A905" s="11" t="s">
        <v>1763</v>
      </c>
      <c r="B905" s="11"/>
      <c r="C905" s="11" t="s">
        <v>339</v>
      </c>
      <c r="D905" s="11" t="s">
        <v>366</v>
      </c>
      <c r="E905" s="11" t="s">
        <v>341</v>
      </c>
      <c r="F905" s="11"/>
      <c r="G905" s="11"/>
      <c r="H905" s="11" t="s">
        <v>366</v>
      </c>
      <c r="I905" s="11"/>
      <c r="J905" s="11" t="s">
        <v>343</v>
      </c>
    </row>
    <row r="906" customFormat="false" ht="15" hidden="false" customHeight="true" outlineLevel="0" collapsed="false">
      <c r="A906" s="11" t="s">
        <v>1764</v>
      </c>
      <c r="B906" s="11"/>
      <c r="C906" s="11" t="s">
        <v>339</v>
      </c>
      <c r="D906" s="11" t="s">
        <v>366</v>
      </c>
      <c r="E906" s="11" t="s">
        <v>341</v>
      </c>
      <c r="F906" s="11"/>
      <c r="G906" s="11"/>
      <c r="H906" s="11" t="s">
        <v>366</v>
      </c>
      <c r="I906" s="11"/>
      <c r="J906" s="11" t="s">
        <v>343</v>
      </c>
    </row>
    <row r="907" customFormat="false" ht="15" hidden="false" customHeight="true" outlineLevel="0" collapsed="false">
      <c r="A907" s="11" t="s">
        <v>1765</v>
      </c>
      <c r="B907" s="11" t="s">
        <v>449</v>
      </c>
      <c r="C907" s="11" t="s">
        <v>245</v>
      </c>
      <c r="D907" s="11"/>
      <c r="E907" s="11" t="s">
        <v>356</v>
      </c>
      <c r="F907" s="11" t="s">
        <v>516</v>
      </c>
      <c r="G907" s="11"/>
      <c r="H907" s="11"/>
      <c r="I907" s="11"/>
      <c r="J907" s="11" t="s">
        <v>343</v>
      </c>
    </row>
    <row r="908" customFormat="false" ht="15" hidden="false" customHeight="true" outlineLevel="0" collapsed="false">
      <c r="A908" s="11" t="s">
        <v>1766</v>
      </c>
      <c r="B908" s="11" t="s">
        <v>609</v>
      </c>
      <c r="C908" s="11" t="s">
        <v>339</v>
      </c>
      <c r="D908" s="11"/>
      <c r="E908" s="11" t="s">
        <v>356</v>
      </c>
      <c r="F908" s="11" t="s">
        <v>353</v>
      </c>
      <c r="G908" s="11"/>
      <c r="H908" s="11"/>
      <c r="I908" s="11"/>
      <c r="J908" s="11" t="s">
        <v>343</v>
      </c>
    </row>
    <row r="909" customFormat="false" ht="15" hidden="false" customHeight="true" outlineLevel="0" collapsed="false">
      <c r="A909" s="11" t="s">
        <v>1767</v>
      </c>
      <c r="B909" s="11"/>
      <c r="C909" s="11" t="s">
        <v>597</v>
      </c>
      <c r="D909" s="11" t="s">
        <v>347</v>
      </c>
      <c r="E909" s="11" t="s">
        <v>356</v>
      </c>
      <c r="F909" s="11" t="s">
        <v>409</v>
      </c>
      <c r="G909" s="11" t="s">
        <v>31</v>
      </c>
      <c r="H909" s="11"/>
      <c r="I909" s="11"/>
      <c r="J909" s="11" t="s">
        <v>343</v>
      </c>
      <c r="O909" s="1" t="n">
        <f aca="false">'Behovsmodell (75p)'!$B$62</f>
        <v>85559</v>
      </c>
      <c r="P909" s="1" t="n">
        <f aca="false">('Behovsmodell (75p)'!$B$62)/12</f>
        <v>7129.91666666667</v>
      </c>
    </row>
    <row r="910" customFormat="false" ht="15" hidden="false" customHeight="true" outlineLevel="0" collapsed="false">
      <c r="A910" s="11" t="s">
        <v>1767</v>
      </c>
      <c r="B910" s="11"/>
      <c r="C910" s="11" t="s">
        <v>339</v>
      </c>
      <c r="D910" s="11" t="s">
        <v>347</v>
      </c>
      <c r="E910" s="11"/>
      <c r="F910" s="11" t="s">
        <v>409</v>
      </c>
      <c r="G910" s="11" t="s">
        <v>31</v>
      </c>
      <c r="H910" s="11"/>
      <c r="I910" s="11"/>
      <c r="J910" s="11" t="s">
        <v>343</v>
      </c>
      <c r="O910" s="1" t="n">
        <f aca="false">'Behovsmodell (75p)'!$B$62</f>
        <v>85559</v>
      </c>
      <c r="P910" s="1" t="n">
        <f aca="false">('Behovsmodell (75p)'!$B$62)/12</f>
        <v>7129.91666666667</v>
      </c>
    </row>
    <row r="911" customFormat="false" ht="15" hidden="false" customHeight="true" outlineLevel="0" collapsed="false">
      <c r="A911" s="11" t="s">
        <v>1768</v>
      </c>
      <c r="B911" s="11"/>
      <c r="C911" s="11" t="s">
        <v>361</v>
      </c>
      <c r="D911" s="11"/>
      <c r="E911" s="11" t="s">
        <v>356</v>
      </c>
      <c r="F911" s="11"/>
      <c r="G911" s="11"/>
      <c r="H911" s="11"/>
      <c r="I911" s="11"/>
      <c r="J911" s="11" t="s">
        <v>343</v>
      </c>
    </row>
    <row r="912" customFormat="false" ht="15" hidden="false" customHeight="true" outlineLevel="0" collapsed="false">
      <c r="A912" s="11" t="s">
        <v>1769</v>
      </c>
      <c r="B912" s="11" t="s">
        <v>1770</v>
      </c>
      <c r="C912" s="11" t="s">
        <v>346</v>
      </c>
      <c r="D912" s="11" t="s">
        <v>375</v>
      </c>
      <c r="E912" s="11" t="s">
        <v>396</v>
      </c>
      <c r="F912" s="11" t="s">
        <v>593</v>
      </c>
      <c r="G912" s="11" t="s">
        <v>68</v>
      </c>
      <c r="H912" s="11"/>
      <c r="I912" s="11"/>
      <c r="J912" s="11" t="s">
        <v>343</v>
      </c>
      <c r="O912" s="1" t="n">
        <f aca="false">'Behovsmodell (75p)'!$B$66</f>
        <v>206427.05</v>
      </c>
      <c r="P912" s="1" t="n">
        <f aca="false">('Behovsmodell (75p)'!$B$66)/12</f>
        <v>17202.2541666667</v>
      </c>
    </row>
    <row r="913" customFormat="false" ht="15" hidden="false" customHeight="true" outlineLevel="0" collapsed="false">
      <c r="A913" s="11" t="s">
        <v>1771</v>
      </c>
      <c r="B913" s="11" t="s">
        <v>449</v>
      </c>
      <c r="C913" s="11" t="s">
        <v>245</v>
      </c>
      <c r="D913" s="11" t="s">
        <v>366</v>
      </c>
      <c r="E913" s="11" t="s">
        <v>396</v>
      </c>
      <c r="F913" s="11" t="s">
        <v>1760</v>
      </c>
      <c r="G913" s="11"/>
      <c r="H913" s="11" t="s">
        <v>366</v>
      </c>
      <c r="I913" s="11"/>
      <c r="J913" s="11" t="s">
        <v>343</v>
      </c>
    </row>
    <row r="914" customFormat="false" ht="15" hidden="false" customHeight="true" outlineLevel="0" collapsed="false">
      <c r="A914" s="11" t="s">
        <v>1772</v>
      </c>
      <c r="B914" s="11"/>
      <c r="C914" s="11" t="s">
        <v>403</v>
      </c>
      <c r="D914" s="11"/>
      <c r="E914" s="11"/>
      <c r="F914" s="11" t="s">
        <v>353</v>
      </c>
      <c r="G914" s="11"/>
      <c r="H914" s="11"/>
      <c r="I914" s="11"/>
      <c r="J914" s="11" t="s">
        <v>343</v>
      </c>
    </row>
    <row r="915" customFormat="false" ht="15" hidden="false" customHeight="true" outlineLevel="0" collapsed="false">
      <c r="A915" s="11" t="s">
        <v>1773</v>
      </c>
      <c r="B915" s="11" t="s">
        <v>481</v>
      </c>
      <c r="C915" s="11" t="s">
        <v>457</v>
      </c>
      <c r="D915" s="11" t="s">
        <v>347</v>
      </c>
      <c r="E915" s="11" t="s">
        <v>396</v>
      </c>
      <c r="F915" s="11" t="s">
        <v>358</v>
      </c>
      <c r="G915" s="11" t="s">
        <v>31</v>
      </c>
      <c r="H915" s="11"/>
      <c r="I915" s="11"/>
      <c r="J915" s="11" t="s">
        <v>343</v>
      </c>
      <c r="O915" s="1" t="n">
        <f aca="false">'Behovsmodell (75p)'!$B$62</f>
        <v>85559</v>
      </c>
      <c r="P915" s="1" t="n">
        <f aca="false">('Behovsmodell (75p)'!$B$62)/12</f>
        <v>7129.91666666667</v>
      </c>
    </row>
    <row r="916" customFormat="false" ht="15" hidden="false" customHeight="true" outlineLevel="0" collapsed="false">
      <c r="A916" s="11" t="s">
        <v>1774</v>
      </c>
      <c r="B916" s="11"/>
      <c r="C916" s="11" t="s">
        <v>361</v>
      </c>
      <c r="D916" s="11" t="s">
        <v>340</v>
      </c>
      <c r="E916" s="11" t="s">
        <v>341</v>
      </c>
      <c r="F916" s="11"/>
      <c r="G916" s="11"/>
      <c r="H916" s="11" t="s">
        <v>340</v>
      </c>
      <c r="I916" s="11"/>
      <c r="J916" s="11" t="s">
        <v>343</v>
      </c>
    </row>
    <row r="917" customFormat="false" ht="15" hidden="false" customHeight="true" outlineLevel="0" collapsed="false">
      <c r="A917" s="11" t="s">
        <v>1775</v>
      </c>
      <c r="B917" s="11" t="s">
        <v>892</v>
      </c>
      <c r="C917" s="11" t="s">
        <v>536</v>
      </c>
      <c r="D917" s="11" t="s">
        <v>352</v>
      </c>
      <c r="E917" s="11" t="s">
        <v>356</v>
      </c>
      <c r="F917" s="11" t="s">
        <v>559</v>
      </c>
      <c r="G917" s="11" t="s">
        <v>84</v>
      </c>
      <c r="H917" s="11"/>
      <c r="I917" s="11"/>
      <c r="J917" s="11" t="s">
        <v>343</v>
      </c>
      <c r="K917" s="1" t="s">
        <v>1776</v>
      </c>
      <c r="L917" s="1" t="s">
        <v>1777</v>
      </c>
      <c r="M917" s="1" t="s">
        <v>1778</v>
      </c>
      <c r="N917" s="1" t="s">
        <v>1779</v>
      </c>
      <c r="O917" s="1" t="n">
        <f aca="false">'Behovsmodell (75p)'!$B$68</f>
        <v>330040.65</v>
      </c>
      <c r="P917" s="1" t="n">
        <f aca="false">('Behovsmodell (75p)'!$B$68)/12</f>
        <v>27503.3875</v>
      </c>
    </row>
    <row r="918" customFormat="false" ht="15" hidden="false" customHeight="true" outlineLevel="0" collapsed="false">
      <c r="A918" s="11" t="s">
        <v>1775</v>
      </c>
      <c r="B918" s="11"/>
      <c r="C918" s="11" t="s">
        <v>339</v>
      </c>
      <c r="D918" s="11" t="s">
        <v>352</v>
      </c>
      <c r="E918" s="11" t="s">
        <v>356</v>
      </c>
      <c r="F918" s="11" t="s">
        <v>1276</v>
      </c>
      <c r="G918" s="11" t="s">
        <v>84</v>
      </c>
      <c r="H918" s="11"/>
      <c r="I918" s="11"/>
      <c r="J918" s="11" t="s">
        <v>343</v>
      </c>
      <c r="K918" s="1" t="s">
        <v>1776</v>
      </c>
      <c r="L918" s="1" t="s">
        <v>1777</v>
      </c>
      <c r="M918" s="1" t="s">
        <v>1778</v>
      </c>
      <c r="N918" s="1" t="s">
        <v>1779</v>
      </c>
      <c r="O918" s="1" t="n">
        <f aca="false">'Behovsmodell (75p)'!$B$68</f>
        <v>330040.65</v>
      </c>
      <c r="P918" s="1" t="n">
        <f aca="false">('Behovsmodell (75p)'!$B$68)/12</f>
        <v>27503.3875</v>
      </c>
    </row>
    <row r="919" customFormat="false" ht="15" hidden="false" customHeight="true" outlineLevel="0" collapsed="false">
      <c r="A919" s="11" t="s">
        <v>1780</v>
      </c>
      <c r="B919" s="11"/>
      <c r="C919" s="11" t="s">
        <v>339</v>
      </c>
      <c r="D919" s="11" t="s">
        <v>352</v>
      </c>
      <c r="E919" s="11"/>
      <c r="F919" s="11" t="s">
        <v>353</v>
      </c>
      <c r="G919" s="11" t="s">
        <v>84</v>
      </c>
      <c r="H919" s="11"/>
      <c r="I919" s="11"/>
      <c r="J919" s="11" t="s">
        <v>343</v>
      </c>
      <c r="O919" s="1" t="n">
        <f aca="false">'Behovsmodell (75p)'!$B$68</f>
        <v>330040.65</v>
      </c>
      <c r="P919" s="1" t="n">
        <f aca="false">('Behovsmodell (75p)'!$B$68)/12</f>
        <v>27503.3875</v>
      </c>
    </row>
    <row r="920" customFormat="false" ht="15" hidden="false" customHeight="true" outlineLevel="0" collapsed="false">
      <c r="A920" s="11" t="s">
        <v>1781</v>
      </c>
      <c r="B920" s="11"/>
      <c r="C920" s="11" t="s">
        <v>339</v>
      </c>
      <c r="D920" s="11" t="s">
        <v>395</v>
      </c>
      <c r="E920" s="11" t="s">
        <v>396</v>
      </c>
      <c r="F920" s="11" t="s">
        <v>358</v>
      </c>
      <c r="G920" s="11" t="s">
        <v>129</v>
      </c>
      <c r="H920" s="11"/>
      <c r="I920" s="11"/>
      <c r="J920" s="11" t="s">
        <v>343</v>
      </c>
      <c r="O920" s="1" t="n">
        <f aca="false">'Behovsmodell (75p)'!$B$76</f>
        <v>111099</v>
      </c>
      <c r="P920" s="1" t="n">
        <f aca="false">('Behovsmodell (75p)'!$B$76)/12</f>
        <v>9258.25</v>
      </c>
    </row>
    <row r="921" customFormat="false" ht="15" hidden="false" customHeight="true" outlineLevel="0" collapsed="false">
      <c r="A921" s="11" t="s">
        <v>1782</v>
      </c>
      <c r="B921" s="11" t="s">
        <v>1268</v>
      </c>
      <c r="C921" s="11" t="s">
        <v>536</v>
      </c>
      <c r="D921" s="11" t="s">
        <v>366</v>
      </c>
      <c r="E921" s="11" t="s">
        <v>341</v>
      </c>
      <c r="F921" s="11"/>
      <c r="G921" s="11"/>
      <c r="H921" s="11" t="s">
        <v>366</v>
      </c>
      <c r="I921" s="11"/>
      <c r="J921" s="11" t="s">
        <v>343</v>
      </c>
      <c r="N921" s="1" t="s">
        <v>1648</v>
      </c>
    </row>
    <row r="922" customFormat="false" ht="15" hidden="false" customHeight="true" outlineLevel="0" collapsed="false">
      <c r="A922" s="11" t="s">
        <v>1783</v>
      </c>
      <c r="B922" s="11" t="s">
        <v>388</v>
      </c>
      <c r="C922" s="11" t="s">
        <v>388</v>
      </c>
      <c r="D922" s="11"/>
      <c r="E922" s="11" t="s">
        <v>356</v>
      </c>
      <c r="F922" s="11" t="s">
        <v>358</v>
      </c>
      <c r="G922" s="11"/>
      <c r="H922" s="11"/>
      <c r="I922" s="11"/>
      <c r="J922" s="11" t="s">
        <v>343</v>
      </c>
    </row>
    <row r="923" customFormat="false" ht="15" hidden="false" customHeight="true" outlineLevel="0" collapsed="false">
      <c r="A923" s="11" t="s">
        <v>1784</v>
      </c>
      <c r="B923" s="11"/>
      <c r="C923" s="11" t="s">
        <v>361</v>
      </c>
      <c r="D923" s="11" t="s">
        <v>340</v>
      </c>
      <c r="E923" s="11" t="s">
        <v>341</v>
      </c>
      <c r="F923" s="11"/>
      <c r="G923" s="11"/>
      <c r="H923" s="11" t="s">
        <v>340</v>
      </c>
      <c r="I923" s="11"/>
      <c r="J923" s="11" t="s">
        <v>343</v>
      </c>
    </row>
    <row r="924" customFormat="false" ht="15" hidden="false" customHeight="true" outlineLevel="0" collapsed="false">
      <c r="A924" s="11" t="s">
        <v>1785</v>
      </c>
      <c r="B924" s="11" t="s">
        <v>338</v>
      </c>
      <c r="C924" s="11" t="s">
        <v>339</v>
      </c>
      <c r="D924" s="11"/>
      <c r="E924" s="11"/>
      <c r="F924" s="11" t="s">
        <v>1178</v>
      </c>
      <c r="G924" s="11"/>
      <c r="H924" s="11"/>
      <c r="I924" s="11"/>
      <c r="J924" s="11" t="s">
        <v>343</v>
      </c>
    </row>
    <row r="925" customFormat="false" ht="15" hidden="false" customHeight="true" outlineLevel="0" collapsed="false">
      <c r="A925" s="11" t="s">
        <v>1786</v>
      </c>
      <c r="B925" s="11" t="s">
        <v>550</v>
      </c>
      <c r="C925" s="11" t="s">
        <v>355</v>
      </c>
      <c r="D925" s="11" t="s">
        <v>347</v>
      </c>
      <c r="E925" s="11" t="s">
        <v>356</v>
      </c>
      <c r="F925" s="11" t="s">
        <v>353</v>
      </c>
      <c r="G925" s="11" t="s">
        <v>31</v>
      </c>
      <c r="H925" s="11"/>
      <c r="I925" s="11"/>
      <c r="J925" s="11" t="s">
        <v>343</v>
      </c>
      <c r="O925" s="1" t="n">
        <f aca="false">'Behovsmodell (75p)'!$B$62</f>
        <v>85559</v>
      </c>
      <c r="P925" s="1" t="n">
        <f aca="false">('Behovsmodell (75p)'!$B$62)/12</f>
        <v>7129.91666666667</v>
      </c>
    </row>
    <row r="926" customFormat="false" ht="15" hidden="false" customHeight="true" outlineLevel="0" collapsed="false">
      <c r="A926" s="11" t="s">
        <v>1787</v>
      </c>
      <c r="B926" s="11" t="s">
        <v>403</v>
      </c>
      <c r="C926" s="11" t="s">
        <v>403</v>
      </c>
      <c r="D926" s="11"/>
      <c r="E926" s="11" t="s">
        <v>356</v>
      </c>
      <c r="F926" s="11" t="s">
        <v>1359</v>
      </c>
      <c r="G926" s="11"/>
      <c r="H926" s="11"/>
      <c r="I926" s="11"/>
      <c r="J926" s="11" t="s">
        <v>343</v>
      </c>
    </row>
    <row r="927" customFormat="false" ht="15" hidden="false" customHeight="true" outlineLevel="0" collapsed="false">
      <c r="A927" s="11" t="s">
        <v>1788</v>
      </c>
      <c r="B927" s="11"/>
      <c r="C927" s="11" t="s">
        <v>346</v>
      </c>
      <c r="D927" s="11"/>
      <c r="E927" s="11"/>
      <c r="F927" s="11" t="s">
        <v>416</v>
      </c>
      <c r="G927" s="11"/>
      <c r="H927" s="11"/>
      <c r="I927" s="11"/>
      <c r="J927" s="11" t="s">
        <v>343</v>
      </c>
    </row>
    <row r="928" customFormat="false" ht="15" hidden="false" customHeight="true" outlineLevel="0" collapsed="false">
      <c r="A928" s="11" t="s">
        <v>1789</v>
      </c>
      <c r="B928" s="11"/>
      <c r="C928" s="11" t="s">
        <v>339</v>
      </c>
      <c r="D928" s="11" t="s">
        <v>347</v>
      </c>
      <c r="E928" s="11"/>
      <c r="F928" s="11" t="s">
        <v>539</v>
      </c>
      <c r="G928" s="11" t="s">
        <v>31</v>
      </c>
      <c r="H928" s="11"/>
      <c r="I928" s="11"/>
      <c r="J928" s="11" t="s">
        <v>343</v>
      </c>
      <c r="O928" s="1" t="n">
        <f aca="false">'Behovsmodell (75p)'!$B$62</f>
        <v>85559</v>
      </c>
      <c r="P928" s="1" t="n">
        <f aca="false">('Behovsmodell (75p)'!$B$62)/12</f>
        <v>7129.91666666667</v>
      </c>
    </row>
    <row r="929" customFormat="false" ht="15" hidden="false" customHeight="true" outlineLevel="0" collapsed="false">
      <c r="A929" s="11" t="s">
        <v>1789</v>
      </c>
      <c r="B929" s="11" t="s">
        <v>1365</v>
      </c>
      <c r="C929" s="11" t="s">
        <v>361</v>
      </c>
      <c r="D929" s="11" t="s">
        <v>347</v>
      </c>
      <c r="E929" s="11" t="s">
        <v>356</v>
      </c>
      <c r="F929" s="11" t="s">
        <v>539</v>
      </c>
      <c r="G929" s="11" t="s">
        <v>31</v>
      </c>
      <c r="H929" s="11"/>
      <c r="I929" s="11"/>
      <c r="J929" s="11" t="s">
        <v>343</v>
      </c>
      <c r="O929" s="1" t="n">
        <f aca="false">'Behovsmodell (75p)'!$B$62</f>
        <v>85559</v>
      </c>
      <c r="P929" s="1" t="n">
        <f aca="false">('Behovsmodell (75p)'!$B$62)/12</f>
        <v>7129.91666666667</v>
      </c>
    </row>
    <row r="930" customFormat="false" ht="15" hidden="false" customHeight="true" outlineLevel="0" collapsed="false">
      <c r="A930" s="11" t="s">
        <v>1790</v>
      </c>
      <c r="B930" s="11"/>
      <c r="C930" s="11" t="s">
        <v>339</v>
      </c>
      <c r="D930" s="11"/>
      <c r="E930" s="11" t="s">
        <v>356</v>
      </c>
      <c r="F930" s="11" t="s">
        <v>358</v>
      </c>
      <c r="G930" s="11"/>
      <c r="H930" s="11"/>
      <c r="I930" s="11"/>
      <c r="J930" s="11" t="s">
        <v>343</v>
      </c>
    </row>
    <row r="931" customFormat="false" ht="15" hidden="false" customHeight="true" outlineLevel="0" collapsed="false">
      <c r="A931" s="11" t="s">
        <v>1791</v>
      </c>
      <c r="B931" s="11"/>
      <c r="C931" s="11" t="s">
        <v>355</v>
      </c>
      <c r="D931" s="11" t="s">
        <v>347</v>
      </c>
      <c r="E931" s="11" t="s">
        <v>356</v>
      </c>
      <c r="F931" s="11" t="s">
        <v>1792</v>
      </c>
      <c r="G931" s="11" t="s">
        <v>31</v>
      </c>
      <c r="H931" s="11"/>
      <c r="I931" s="11"/>
      <c r="J931" s="11" t="s">
        <v>343</v>
      </c>
      <c r="O931" s="1" t="n">
        <f aca="false">'Behovsmodell (75p)'!$B$62</f>
        <v>85559</v>
      </c>
      <c r="P931" s="1" t="n">
        <f aca="false">('Behovsmodell (75p)'!$B$62)/12</f>
        <v>7129.91666666667</v>
      </c>
    </row>
    <row r="932" customFormat="false" ht="15" hidden="false" customHeight="true" outlineLevel="0" collapsed="false">
      <c r="A932" s="11" t="s">
        <v>1793</v>
      </c>
      <c r="B932" s="11"/>
      <c r="C932" s="11" t="s">
        <v>339</v>
      </c>
      <c r="D932" s="11" t="s">
        <v>366</v>
      </c>
      <c r="E932" s="11" t="s">
        <v>341</v>
      </c>
      <c r="F932" s="11"/>
      <c r="G932" s="11"/>
      <c r="H932" s="11" t="s">
        <v>366</v>
      </c>
      <c r="I932" s="11"/>
      <c r="J932" s="11" t="s">
        <v>343</v>
      </c>
    </row>
    <row r="933" customFormat="false" ht="15" hidden="false" customHeight="true" outlineLevel="0" collapsed="false">
      <c r="A933" s="11" t="s">
        <v>1794</v>
      </c>
      <c r="B933" s="11" t="s">
        <v>345</v>
      </c>
      <c r="C933" s="11" t="s">
        <v>346</v>
      </c>
      <c r="D933" s="11"/>
      <c r="E933" s="11" t="s">
        <v>356</v>
      </c>
      <c r="F933" s="11" t="s">
        <v>353</v>
      </c>
      <c r="G933" s="11"/>
      <c r="H933" s="11"/>
      <c r="I933" s="11"/>
      <c r="J933" s="11" t="s">
        <v>343</v>
      </c>
      <c r="K933" s="1" t="s">
        <v>1795</v>
      </c>
      <c r="L933" s="1" t="s">
        <v>1796</v>
      </c>
      <c r="M933" s="1" t="s">
        <v>1797</v>
      </c>
      <c r="N933" s="1" t="s">
        <v>1798</v>
      </c>
    </row>
    <row r="934" customFormat="false" ht="15" hidden="false" customHeight="true" outlineLevel="0" collapsed="false">
      <c r="A934" s="11" t="s">
        <v>1799</v>
      </c>
      <c r="B934" s="11" t="s">
        <v>487</v>
      </c>
      <c r="C934" s="11" t="s">
        <v>414</v>
      </c>
      <c r="D934" s="11"/>
      <c r="E934" s="11" t="s">
        <v>356</v>
      </c>
      <c r="F934" s="11" t="s">
        <v>358</v>
      </c>
      <c r="G934" s="11"/>
      <c r="H934" s="11"/>
      <c r="I934" s="11"/>
      <c r="J934" s="11" t="s">
        <v>343</v>
      </c>
    </row>
    <row r="935" customFormat="false" ht="15" hidden="false" customHeight="true" outlineLevel="0" collapsed="false">
      <c r="A935" s="11" t="s">
        <v>1800</v>
      </c>
      <c r="B935" s="11" t="s">
        <v>1069</v>
      </c>
      <c r="C935" s="11" t="s">
        <v>414</v>
      </c>
      <c r="D935" s="11"/>
      <c r="E935" s="11" t="s">
        <v>356</v>
      </c>
      <c r="F935" s="11" t="s">
        <v>358</v>
      </c>
      <c r="G935" s="11"/>
      <c r="H935" s="11"/>
      <c r="I935" s="11"/>
      <c r="J935" s="11" t="s">
        <v>343</v>
      </c>
      <c r="K935" s="1" t="s">
        <v>1801</v>
      </c>
      <c r="L935" s="1" t="s">
        <v>1802</v>
      </c>
      <c r="M935" s="1" t="s">
        <v>1803</v>
      </c>
      <c r="N935" s="1" t="s">
        <v>1804</v>
      </c>
    </row>
    <row r="936" customFormat="false" ht="15" hidden="false" customHeight="true" outlineLevel="0" collapsed="false">
      <c r="A936" s="11" t="s">
        <v>1805</v>
      </c>
      <c r="B936" s="11"/>
      <c r="C936" s="11" t="s">
        <v>339</v>
      </c>
      <c r="D936" s="11" t="s">
        <v>347</v>
      </c>
      <c r="E936" s="11"/>
      <c r="F936" s="11" t="s">
        <v>358</v>
      </c>
      <c r="G936" s="11" t="s">
        <v>31</v>
      </c>
      <c r="H936" s="11"/>
      <c r="I936" s="11"/>
      <c r="J936" s="11" t="s">
        <v>343</v>
      </c>
      <c r="O936" s="1" t="n">
        <f aca="false">'Behovsmodell (75p)'!$B$62</f>
        <v>85559</v>
      </c>
      <c r="P936" s="1" t="n">
        <f aca="false">('Behovsmodell (75p)'!$B$62)/12</f>
        <v>7129.91666666667</v>
      </c>
    </row>
    <row r="937" customFormat="false" ht="15" hidden="false" customHeight="true" outlineLevel="0" collapsed="false">
      <c r="A937" s="11" t="s">
        <v>1806</v>
      </c>
      <c r="B937" s="11"/>
      <c r="C937" s="11" t="s">
        <v>346</v>
      </c>
      <c r="D937" s="11" t="s">
        <v>340</v>
      </c>
      <c r="E937" s="11" t="s">
        <v>341</v>
      </c>
      <c r="F937" s="11"/>
      <c r="G937" s="11"/>
      <c r="H937" s="11" t="s">
        <v>340</v>
      </c>
      <c r="I937" s="11"/>
      <c r="J937" s="11" t="s">
        <v>343</v>
      </c>
    </row>
    <row r="938" customFormat="false" ht="15" hidden="false" customHeight="true" outlineLevel="0" collapsed="false">
      <c r="A938" s="24" t="s">
        <v>1807</v>
      </c>
      <c r="B938" s="24" t="s">
        <v>692</v>
      </c>
      <c r="C938" s="24" t="s">
        <v>355</v>
      </c>
      <c r="D938" s="24" t="s">
        <v>764</v>
      </c>
      <c r="E938" s="24" t="s">
        <v>341</v>
      </c>
      <c r="F938" s="24"/>
      <c r="G938" s="24"/>
      <c r="H938" s="24" t="s">
        <v>764</v>
      </c>
      <c r="I938" s="24" t="s">
        <v>384</v>
      </c>
      <c r="J938" s="24" t="s">
        <v>343</v>
      </c>
    </row>
    <row r="939" customFormat="false" ht="15" hidden="false" customHeight="true" outlineLevel="0" collapsed="false">
      <c r="A939" s="11" t="s">
        <v>1808</v>
      </c>
      <c r="B939" s="11" t="s">
        <v>1809</v>
      </c>
      <c r="C939" s="11" t="s">
        <v>381</v>
      </c>
      <c r="D939" s="11"/>
      <c r="E939" s="11" t="s">
        <v>356</v>
      </c>
      <c r="F939" s="11" t="s">
        <v>362</v>
      </c>
      <c r="G939" s="11"/>
      <c r="H939" s="11"/>
      <c r="I939" s="11"/>
      <c r="J939" s="11" t="s">
        <v>343</v>
      </c>
    </row>
    <row r="940" customFormat="false" ht="15" hidden="false" customHeight="true" outlineLevel="0" collapsed="false">
      <c r="A940" s="11" t="s">
        <v>1810</v>
      </c>
      <c r="B940" s="11"/>
      <c r="C940" s="11" t="s">
        <v>245</v>
      </c>
      <c r="D940" s="11" t="s">
        <v>347</v>
      </c>
      <c r="E940" s="11"/>
      <c r="F940" s="11" t="s">
        <v>1811</v>
      </c>
      <c r="G940" s="11" t="s">
        <v>31</v>
      </c>
      <c r="H940" s="11"/>
      <c r="I940" s="11"/>
      <c r="J940" s="11" t="s">
        <v>343</v>
      </c>
      <c r="O940" s="1" t="n">
        <f aca="false">'Behovsmodell (75p)'!$B$62</f>
        <v>85559</v>
      </c>
      <c r="P940" s="1" t="n">
        <f aca="false">('Behovsmodell (75p)'!$B$62)/12</f>
        <v>7129.91666666667</v>
      </c>
    </row>
    <row r="941" customFormat="false" ht="15" hidden="false" customHeight="true" outlineLevel="0" collapsed="false">
      <c r="A941" s="11" t="s">
        <v>1812</v>
      </c>
      <c r="B941" s="11"/>
      <c r="C941" s="11" t="s">
        <v>339</v>
      </c>
      <c r="D941" s="11"/>
      <c r="E941" s="11" t="s">
        <v>356</v>
      </c>
      <c r="F941" s="11" t="s">
        <v>358</v>
      </c>
      <c r="G941" s="11"/>
      <c r="H941" s="11"/>
      <c r="I941" s="11"/>
      <c r="J941" s="11" t="s">
        <v>343</v>
      </c>
    </row>
    <row r="942" customFormat="false" ht="15" hidden="false" customHeight="true" outlineLevel="0" collapsed="false">
      <c r="A942" s="11" t="s">
        <v>1813</v>
      </c>
      <c r="B942" s="11" t="s">
        <v>1388</v>
      </c>
      <c r="C942" s="11" t="s">
        <v>536</v>
      </c>
      <c r="D942" s="11"/>
      <c r="E942" s="11" t="s">
        <v>356</v>
      </c>
      <c r="F942" s="11" t="s">
        <v>358</v>
      </c>
      <c r="G942" s="11"/>
      <c r="H942" s="11"/>
      <c r="I942" s="11"/>
      <c r="J942" s="11" t="s">
        <v>343</v>
      </c>
    </row>
    <row r="943" customFormat="false" ht="15" hidden="false" customHeight="true" outlineLevel="0" collapsed="false">
      <c r="A943" s="11" t="s">
        <v>1814</v>
      </c>
      <c r="B943" s="11" t="s">
        <v>338</v>
      </c>
      <c r="C943" s="11" t="s">
        <v>339</v>
      </c>
      <c r="D943" s="11" t="s">
        <v>366</v>
      </c>
      <c r="E943" s="11" t="s">
        <v>341</v>
      </c>
      <c r="F943" s="11" t="s">
        <v>1815</v>
      </c>
      <c r="G943" s="11"/>
      <c r="H943" s="11" t="s">
        <v>366</v>
      </c>
      <c r="I943" s="11"/>
      <c r="J943" s="11" t="s">
        <v>343</v>
      </c>
    </row>
    <row r="944" customFormat="false" ht="15" hidden="false" customHeight="true" outlineLevel="0" collapsed="false">
      <c r="A944" s="11" t="s">
        <v>1816</v>
      </c>
      <c r="B944" s="11" t="s">
        <v>403</v>
      </c>
      <c r="C944" s="11" t="s">
        <v>403</v>
      </c>
      <c r="D944" s="11"/>
      <c r="E944" s="11" t="s">
        <v>356</v>
      </c>
      <c r="F944" s="11" t="s">
        <v>913</v>
      </c>
      <c r="G944" s="11"/>
      <c r="H944" s="11"/>
      <c r="I944" s="11"/>
      <c r="J944" s="11" t="s">
        <v>343</v>
      </c>
      <c r="K944" s="1" t="s">
        <v>1817</v>
      </c>
      <c r="L944" s="1" t="s">
        <v>1818</v>
      </c>
      <c r="M944" s="1" t="s">
        <v>1819</v>
      </c>
      <c r="N944" s="1" t="s">
        <v>1820</v>
      </c>
    </row>
    <row r="945" customFormat="false" ht="15" hidden="false" customHeight="true" outlineLevel="0" collapsed="false">
      <c r="A945" s="11" t="s">
        <v>1821</v>
      </c>
      <c r="B945" s="11" t="s">
        <v>449</v>
      </c>
      <c r="C945" s="11" t="s">
        <v>245</v>
      </c>
      <c r="D945" s="11" t="s">
        <v>352</v>
      </c>
      <c r="E945" s="11"/>
      <c r="F945" s="11" t="s">
        <v>353</v>
      </c>
      <c r="G945" s="11" t="s">
        <v>84</v>
      </c>
      <c r="H945" s="11"/>
      <c r="I945" s="11"/>
      <c r="J945" s="11" t="s">
        <v>343</v>
      </c>
      <c r="K945" s="1" t="s">
        <v>1822</v>
      </c>
      <c r="L945" s="1" t="s">
        <v>1823</v>
      </c>
      <c r="N945" s="1" t="s">
        <v>1824</v>
      </c>
      <c r="O945" s="1" t="n">
        <f aca="false">'Behovsmodell (75p)'!$B$68</f>
        <v>330040.65</v>
      </c>
      <c r="P945" s="1" t="n">
        <f aca="false">('Behovsmodell (75p)'!$B$68)/12</f>
        <v>27503.3875</v>
      </c>
    </row>
    <row r="946" customFormat="false" ht="15" hidden="false" customHeight="true" outlineLevel="0" collapsed="false">
      <c r="A946" s="11" t="s">
        <v>1825</v>
      </c>
      <c r="B946" s="11" t="s">
        <v>240</v>
      </c>
      <c r="C946" s="11" t="s">
        <v>536</v>
      </c>
      <c r="D946" s="11" t="s">
        <v>340</v>
      </c>
      <c r="E946" s="11" t="s">
        <v>341</v>
      </c>
      <c r="F946" s="11"/>
      <c r="G946" s="11"/>
      <c r="H946" s="11" t="s">
        <v>340</v>
      </c>
      <c r="I946" s="11"/>
      <c r="J946" s="11" t="s">
        <v>343</v>
      </c>
    </row>
    <row r="947" customFormat="false" ht="15" hidden="false" customHeight="true" outlineLevel="0" collapsed="false">
      <c r="A947" s="11" t="s">
        <v>1826</v>
      </c>
      <c r="B947" s="11" t="s">
        <v>623</v>
      </c>
      <c r="C947" s="11" t="s">
        <v>351</v>
      </c>
      <c r="D947" s="11" t="s">
        <v>530</v>
      </c>
      <c r="E947" s="11" t="s">
        <v>396</v>
      </c>
      <c r="F947" s="11" t="s">
        <v>656</v>
      </c>
      <c r="G947" s="11" t="s">
        <v>77</v>
      </c>
      <c r="H947" s="11"/>
      <c r="I947" s="11"/>
      <c r="J947" s="11" t="s">
        <v>343</v>
      </c>
      <c r="O947" s="1" t="n">
        <f aca="false">'Behovsmodell (75p)'!$B$67</f>
        <v>58231.2</v>
      </c>
      <c r="P947" s="1" t="n">
        <f aca="false">('Behovsmodell (75p)'!$B$67)/12</f>
        <v>4852.6</v>
      </c>
    </row>
    <row r="948" customFormat="false" ht="15" hidden="false" customHeight="true" outlineLevel="0" collapsed="false">
      <c r="A948" s="11" t="s">
        <v>1827</v>
      </c>
      <c r="B948" s="11"/>
      <c r="C948" s="11" t="s">
        <v>361</v>
      </c>
      <c r="D948" s="11"/>
      <c r="E948" s="11" t="s">
        <v>356</v>
      </c>
      <c r="F948" s="11" t="s">
        <v>358</v>
      </c>
      <c r="G948" s="11"/>
      <c r="H948" s="11"/>
      <c r="I948" s="11"/>
      <c r="J948" s="11" t="s">
        <v>343</v>
      </c>
    </row>
    <row r="949" customFormat="false" ht="15" hidden="false" customHeight="true" outlineLevel="0" collapsed="false">
      <c r="A949" s="11" t="s">
        <v>1828</v>
      </c>
      <c r="B949" s="11"/>
      <c r="C949" s="11" t="s">
        <v>339</v>
      </c>
      <c r="D949" s="11"/>
      <c r="E949" s="11" t="s">
        <v>356</v>
      </c>
      <c r="F949" s="11"/>
      <c r="G949" s="11"/>
      <c r="H949" s="11"/>
      <c r="I949" s="11"/>
      <c r="J949" s="11" t="s">
        <v>343</v>
      </c>
    </row>
    <row r="950" customFormat="false" ht="15" hidden="false" customHeight="true" outlineLevel="0" collapsed="false">
      <c r="A950" s="11" t="s">
        <v>1829</v>
      </c>
      <c r="B950" s="11" t="s">
        <v>1311</v>
      </c>
      <c r="C950" s="11" t="s">
        <v>355</v>
      </c>
      <c r="D950" s="11" t="s">
        <v>347</v>
      </c>
      <c r="E950" s="11"/>
      <c r="F950" s="11" t="s">
        <v>358</v>
      </c>
      <c r="G950" s="11" t="s">
        <v>31</v>
      </c>
      <c r="H950" s="11"/>
      <c r="I950" s="11"/>
      <c r="J950" s="11" t="s">
        <v>343</v>
      </c>
      <c r="O950" s="1" t="n">
        <f aca="false">'Behovsmodell (75p)'!$B$62</f>
        <v>85559</v>
      </c>
      <c r="P950" s="1" t="n">
        <f aca="false">('Behovsmodell (75p)'!$B$62)/12</f>
        <v>7129.91666666667</v>
      </c>
    </row>
    <row r="951" customFormat="false" ht="15" hidden="false" customHeight="true" outlineLevel="0" collapsed="false">
      <c r="A951" s="11" t="s">
        <v>1830</v>
      </c>
      <c r="B951" s="11" t="s">
        <v>387</v>
      </c>
      <c r="C951" s="11" t="s">
        <v>388</v>
      </c>
      <c r="D951" s="11"/>
      <c r="E951" s="11" t="s">
        <v>356</v>
      </c>
      <c r="F951" s="11"/>
      <c r="G951" s="11"/>
      <c r="H951" s="11"/>
      <c r="I951" s="11"/>
      <c r="J951" s="11" t="s">
        <v>343</v>
      </c>
    </row>
    <row r="952" customFormat="false" ht="15" hidden="false" customHeight="true" outlineLevel="0" collapsed="false">
      <c r="A952" s="11" t="s">
        <v>1831</v>
      </c>
      <c r="B952" s="11" t="s">
        <v>536</v>
      </c>
      <c r="C952" s="11" t="s">
        <v>536</v>
      </c>
      <c r="D952" s="11"/>
      <c r="E952" s="11" t="s">
        <v>396</v>
      </c>
      <c r="F952" s="11" t="s">
        <v>1333</v>
      </c>
      <c r="G952" s="11"/>
      <c r="H952" s="11"/>
      <c r="I952" s="11"/>
      <c r="J952" s="11" t="s">
        <v>343</v>
      </c>
    </row>
    <row r="953" customFormat="false" ht="15" hidden="false" customHeight="true" outlineLevel="0" collapsed="false">
      <c r="A953" s="11" t="s">
        <v>1832</v>
      </c>
      <c r="B953" s="11"/>
      <c r="C953" s="11" t="s">
        <v>355</v>
      </c>
      <c r="D953" s="11" t="s">
        <v>340</v>
      </c>
      <c r="E953" s="11" t="s">
        <v>341</v>
      </c>
      <c r="F953" s="11" t="s">
        <v>1833</v>
      </c>
      <c r="G953" s="11"/>
      <c r="H953" s="11" t="s">
        <v>340</v>
      </c>
      <c r="I953" s="11"/>
      <c r="J953" s="11" t="s">
        <v>343</v>
      </c>
    </row>
    <row r="954" customFormat="false" ht="15" hidden="false" customHeight="true" outlineLevel="0" collapsed="false">
      <c r="A954" s="11" t="s">
        <v>1834</v>
      </c>
      <c r="B954" s="11"/>
      <c r="C954" s="11" t="s">
        <v>457</v>
      </c>
      <c r="D954" s="11" t="s">
        <v>366</v>
      </c>
      <c r="E954" s="11" t="s">
        <v>341</v>
      </c>
      <c r="F954" s="11"/>
      <c r="G954" s="11"/>
      <c r="H954" s="11" t="s">
        <v>366</v>
      </c>
      <c r="I954" s="11"/>
      <c r="J954" s="11" t="s">
        <v>343</v>
      </c>
      <c r="K954" s="1" t="s">
        <v>1835</v>
      </c>
      <c r="L954" s="1" t="s">
        <v>1836</v>
      </c>
      <c r="M954" s="1" t="s">
        <v>1837</v>
      </c>
      <c r="N954" s="1" t="s">
        <v>1838</v>
      </c>
    </row>
    <row r="955" customFormat="false" ht="15" hidden="false" customHeight="true" outlineLevel="0" collapsed="false">
      <c r="A955" s="11" t="s">
        <v>1834</v>
      </c>
      <c r="B955" s="11"/>
      <c r="C955" s="11" t="s">
        <v>355</v>
      </c>
      <c r="D955" s="11" t="s">
        <v>366</v>
      </c>
      <c r="E955" s="11" t="s">
        <v>341</v>
      </c>
      <c r="F955" s="11"/>
      <c r="G955" s="11"/>
      <c r="H955" s="11" t="s">
        <v>366</v>
      </c>
      <c r="I955" s="11"/>
      <c r="J955" s="11" t="s">
        <v>343</v>
      </c>
      <c r="K955" s="1" t="s">
        <v>1835</v>
      </c>
      <c r="L955" s="1" t="s">
        <v>1836</v>
      </c>
      <c r="M955" s="1" t="s">
        <v>1837</v>
      </c>
      <c r="N955" s="1" t="s">
        <v>1838</v>
      </c>
    </row>
    <row r="956" customFormat="false" ht="15" hidden="false" customHeight="true" outlineLevel="0" collapsed="false">
      <c r="A956" s="11" t="s">
        <v>1839</v>
      </c>
      <c r="B956" s="11" t="s">
        <v>368</v>
      </c>
      <c r="C956" s="11" t="s">
        <v>361</v>
      </c>
      <c r="D956" s="11"/>
      <c r="E956" s="11" t="s">
        <v>356</v>
      </c>
      <c r="F956" s="11" t="s">
        <v>1840</v>
      </c>
      <c r="G956" s="11"/>
      <c r="H956" s="11"/>
      <c r="I956" s="11"/>
      <c r="J956" s="11" t="s">
        <v>343</v>
      </c>
    </row>
    <row r="957" customFormat="false" ht="15" hidden="false" customHeight="true" outlineLevel="0" collapsed="false">
      <c r="A957" s="11" t="s">
        <v>1841</v>
      </c>
      <c r="B957" s="11"/>
      <c r="C957" s="11" t="s">
        <v>245</v>
      </c>
      <c r="D957" s="11" t="s">
        <v>652</v>
      </c>
      <c r="E957" s="11" t="s">
        <v>356</v>
      </c>
      <c r="F957" s="11"/>
      <c r="G957" s="11" t="s">
        <v>126</v>
      </c>
      <c r="H957" s="11"/>
      <c r="I957" s="11"/>
      <c r="J957" s="11" t="s">
        <v>343</v>
      </c>
      <c r="O957" s="1" t="n">
        <f aca="false">'Behovsmodell (75p)'!$B$75</f>
        <v>11812.25</v>
      </c>
      <c r="P957" s="1" t="n">
        <f aca="false">('Behovsmodell (75p)'!$B$75)/12</f>
        <v>984.354166666667</v>
      </c>
    </row>
    <row r="958" customFormat="false" ht="15" hidden="false" customHeight="true" outlineLevel="0" collapsed="false">
      <c r="A958" s="11" t="s">
        <v>1842</v>
      </c>
      <c r="B958" s="11" t="s">
        <v>437</v>
      </c>
      <c r="C958" s="11" t="s">
        <v>361</v>
      </c>
      <c r="D958" s="11" t="s">
        <v>347</v>
      </c>
      <c r="E958" s="11" t="s">
        <v>356</v>
      </c>
      <c r="F958" s="11" t="s">
        <v>681</v>
      </c>
      <c r="G958" s="11" t="s">
        <v>31</v>
      </c>
      <c r="H958" s="11"/>
      <c r="I958" s="11"/>
      <c r="J958" s="11" t="s">
        <v>343</v>
      </c>
      <c r="O958" s="1" t="n">
        <f aca="false">'Behovsmodell (75p)'!$B$62</f>
        <v>85559</v>
      </c>
      <c r="P958" s="1" t="n">
        <f aca="false">('Behovsmodell (75p)'!$B$62)/12</f>
        <v>7129.91666666667</v>
      </c>
    </row>
    <row r="959" customFormat="false" ht="15" hidden="false" customHeight="true" outlineLevel="0" collapsed="false">
      <c r="A959" s="11" t="s">
        <v>1843</v>
      </c>
      <c r="B959" s="11" t="s">
        <v>602</v>
      </c>
      <c r="C959" s="11" t="s">
        <v>339</v>
      </c>
      <c r="D959" s="11" t="s">
        <v>340</v>
      </c>
      <c r="E959" s="11" t="s">
        <v>341</v>
      </c>
      <c r="F959" s="11"/>
      <c r="G959" s="11"/>
      <c r="H959" s="11" t="s">
        <v>340</v>
      </c>
      <c r="I959" s="11"/>
      <c r="J959" s="11" t="s">
        <v>343</v>
      </c>
    </row>
    <row r="960" customFormat="false" ht="15" hidden="false" customHeight="true" outlineLevel="0" collapsed="false">
      <c r="A960" s="11" t="s">
        <v>1844</v>
      </c>
      <c r="B960" s="11"/>
      <c r="C960" s="11" t="s">
        <v>339</v>
      </c>
      <c r="D960" s="11" t="s">
        <v>352</v>
      </c>
      <c r="E960" s="11"/>
      <c r="F960" s="11"/>
      <c r="G960" s="11" t="s">
        <v>84</v>
      </c>
      <c r="H960" s="11"/>
      <c r="I960" s="11"/>
      <c r="J960" s="11" t="s">
        <v>343</v>
      </c>
      <c r="O960" s="1" t="n">
        <f aca="false">'Behovsmodell (75p)'!$B$68</f>
        <v>330040.65</v>
      </c>
      <c r="P960" s="1" t="n">
        <f aca="false">('Behovsmodell (75p)'!$B$68)/12</f>
        <v>27503.3875</v>
      </c>
    </row>
    <row r="961" customFormat="false" ht="15" hidden="false" customHeight="true" outlineLevel="0" collapsed="false">
      <c r="A961" s="11" t="s">
        <v>1845</v>
      </c>
      <c r="B961" s="11" t="s">
        <v>491</v>
      </c>
      <c r="C961" s="11" t="s">
        <v>381</v>
      </c>
      <c r="D961" s="11" t="s">
        <v>347</v>
      </c>
      <c r="E961" s="11" t="s">
        <v>396</v>
      </c>
      <c r="F961" s="11" t="s">
        <v>353</v>
      </c>
      <c r="G961" s="11" t="s">
        <v>31</v>
      </c>
      <c r="H961" s="11"/>
      <c r="I961" s="11"/>
      <c r="J961" s="11" t="s">
        <v>343</v>
      </c>
      <c r="O961" s="1" t="n">
        <f aca="false">'Behovsmodell (75p)'!$B$62</f>
        <v>85559</v>
      </c>
      <c r="P961" s="1" t="n">
        <f aca="false">('Behovsmodell (75p)'!$B$62)/12</f>
        <v>7129.91666666667</v>
      </c>
    </row>
    <row r="962" customFormat="false" ht="15" hidden="false" customHeight="true" outlineLevel="0" collapsed="false">
      <c r="A962" s="11" t="s">
        <v>1846</v>
      </c>
      <c r="B962" s="11" t="s">
        <v>692</v>
      </c>
      <c r="C962" s="11" t="s">
        <v>355</v>
      </c>
      <c r="D962" s="11"/>
      <c r="E962" s="11" t="s">
        <v>356</v>
      </c>
      <c r="F962" s="11"/>
      <c r="G962" s="11"/>
      <c r="H962" s="11"/>
      <c r="I962" s="11"/>
      <c r="J962" s="11" t="s">
        <v>343</v>
      </c>
    </row>
    <row r="963" customFormat="false" ht="15" hidden="false" customHeight="true" outlineLevel="0" collapsed="false">
      <c r="A963" s="11" t="s">
        <v>1847</v>
      </c>
      <c r="B963" s="11" t="s">
        <v>1610</v>
      </c>
      <c r="C963" s="11" t="s">
        <v>381</v>
      </c>
      <c r="D963" s="11"/>
      <c r="E963" s="11" t="s">
        <v>356</v>
      </c>
      <c r="F963" s="11" t="s">
        <v>358</v>
      </c>
      <c r="G963" s="11"/>
      <c r="H963" s="11"/>
      <c r="I963" s="11"/>
      <c r="J963" s="11" t="s">
        <v>343</v>
      </c>
    </row>
    <row r="964" customFormat="false" ht="15" hidden="false" customHeight="true" outlineLevel="0" collapsed="false">
      <c r="A964" s="11" t="s">
        <v>1848</v>
      </c>
      <c r="B964" s="11" t="s">
        <v>350</v>
      </c>
      <c r="C964" s="11" t="s">
        <v>351</v>
      </c>
      <c r="D964" s="11"/>
      <c r="E964" s="11" t="s">
        <v>356</v>
      </c>
      <c r="F964" s="11" t="s">
        <v>971</v>
      </c>
      <c r="G964" s="11"/>
      <c r="H964" s="11"/>
      <c r="I964" s="11"/>
      <c r="J964" s="11" t="s">
        <v>343</v>
      </c>
      <c r="K964" s="1" t="s">
        <v>1849</v>
      </c>
      <c r="L964" s="1" t="s">
        <v>1850</v>
      </c>
      <c r="M964" s="1" t="s">
        <v>1851</v>
      </c>
      <c r="N964" s="1" t="s">
        <v>1852</v>
      </c>
    </row>
    <row r="965" customFormat="false" ht="15" hidden="false" customHeight="true" outlineLevel="0" collapsed="false">
      <c r="A965" s="11" t="s">
        <v>1848</v>
      </c>
      <c r="B965" s="11"/>
      <c r="C965" s="11" t="s">
        <v>355</v>
      </c>
      <c r="D965" s="11"/>
      <c r="E965" s="11"/>
      <c r="F965" s="11" t="s">
        <v>971</v>
      </c>
      <c r="G965" s="11"/>
      <c r="H965" s="11"/>
      <c r="I965" s="11"/>
      <c r="J965" s="11" t="s">
        <v>343</v>
      </c>
      <c r="K965" s="1" t="s">
        <v>1849</v>
      </c>
      <c r="L965" s="1" t="s">
        <v>1850</v>
      </c>
      <c r="M965" s="1" t="s">
        <v>1851</v>
      </c>
      <c r="N965" s="1" t="s">
        <v>1852</v>
      </c>
    </row>
    <row r="966" customFormat="false" ht="15" hidden="false" customHeight="true" outlineLevel="0" collapsed="false">
      <c r="A966" s="11" t="s">
        <v>1853</v>
      </c>
      <c r="B966" s="11" t="s">
        <v>1854</v>
      </c>
      <c r="C966" s="11" t="s">
        <v>388</v>
      </c>
      <c r="D966" s="11"/>
      <c r="E966" s="11" t="s">
        <v>356</v>
      </c>
      <c r="F966" s="11"/>
      <c r="G966" s="11"/>
      <c r="H966" s="11"/>
      <c r="I966" s="11"/>
      <c r="J966" s="11" t="s">
        <v>343</v>
      </c>
      <c r="N966" s="1" t="s">
        <v>381</v>
      </c>
    </row>
    <row r="967" customFormat="false" ht="15" hidden="false" customHeight="true" outlineLevel="0" collapsed="false">
      <c r="A967" s="11" t="s">
        <v>1855</v>
      </c>
      <c r="B967" s="11" t="s">
        <v>408</v>
      </c>
      <c r="C967" s="11" t="s">
        <v>355</v>
      </c>
      <c r="D967" s="11"/>
      <c r="E967" s="11" t="s">
        <v>356</v>
      </c>
      <c r="F967" s="11" t="s">
        <v>358</v>
      </c>
      <c r="G967" s="11"/>
      <c r="H967" s="11"/>
      <c r="I967" s="11"/>
      <c r="J967" s="11" t="s">
        <v>343</v>
      </c>
    </row>
    <row r="968" customFormat="false" ht="15" hidden="false" customHeight="true" outlineLevel="0" collapsed="false">
      <c r="A968" s="11" t="s">
        <v>1856</v>
      </c>
      <c r="B968" s="11" t="s">
        <v>597</v>
      </c>
      <c r="C968" s="11" t="s">
        <v>597</v>
      </c>
      <c r="D968" s="11"/>
      <c r="E968" s="11" t="s">
        <v>356</v>
      </c>
      <c r="F968" s="11" t="s">
        <v>358</v>
      </c>
      <c r="G968" s="11"/>
      <c r="H968" s="11"/>
      <c r="I968" s="11"/>
      <c r="J968" s="11" t="s">
        <v>343</v>
      </c>
    </row>
    <row r="969" customFormat="false" ht="15" hidden="false" customHeight="true" outlineLevel="0" collapsed="false">
      <c r="A969" s="11" t="s">
        <v>1857</v>
      </c>
      <c r="B969" s="11"/>
      <c r="C969" s="11" t="s">
        <v>351</v>
      </c>
      <c r="D969" s="11"/>
      <c r="E969" s="11" t="s">
        <v>356</v>
      </c>
      <c r="F969" s="11"/>
      <c r="G969" s="11"/>
      <c r="H969" s="11"/>
      <c r="I969" s="11"/>
      <c r="J969" s="11" t="s">
        <v>343</v>
      </c>
    </row>
    <row r="970" customFormat="false" ht="15" hidden="false" customHeight="true" outlineLevel="0" collapsed="false">
      <c r="A970" s="11" t="s">
        <v>1858</v>
      </c>
      <c r="B970" s="11" t="s">
        <v>403</v>
      </c>
      <c r="C970" s="11" t="s">
        <v>403</v>
      </c>
      <c r="D970" s="11" t="s">
        <v>347</v>
      </c>
      <c r="E970" s="11" t="s">
        <v>396</v>
      </c>
      <c r="F970" s="11" t="s">
        <v>353</v>
      </c>
      <c r="G970" s="11" t="s">
        <v>31</v>
      </c>
      <c r="H970" s="11"/>
      <c r="I970" s="11"/>
      <c r="J970" s="11" t="s">
        <v>343</v>
      </c>
      <c r="O970" s="1" t="n">
        <f aca="false">'Behovsmodell (75p)'!$B$62</f>
        <v>85559</v>
      </c>
      <c r="P970" s="1" t="n">
        <f aca="false">('Behovsmodell (75p)'!$B$62)/12</f>
        <v>7129.91666666667</v>
      </c>
    </row>
    <row r="971" customFormat="false" ht="15" hidden="false" customHeight="true" outlineLevel="0" collapsed="false">
      <c r="A971" s="11" t="s">
        <v>1859</v>
      </c>
      <c r="B971" s="11" t="s">
        <v>536</v>
      </c>
      <c r="C971" s="11" t="s">
        <v>536</v>
      </c>
      <c r="D971" s="11"/>
      <c r="E971" s="11" t="s">
        <v>356</v>
      </c>
      <c r="F971" s="11" t="s">
        <v>626</v>
      </c>
      <c r="G971" s="11"/>
      <c r="H971" s="11"/>
      <c r="I971" s="11"/>
      <c r="J971" s="11" t="s">
        <v>343</v>
      </c>
    </row>
    <row r="972" customFormat="false" ht="15" hidden="false" customHeight="true" outlineLevel="0" collapsed="false">
      <c r="A972" s="11" t="s">
        <v>1860</v>
      </c>
      <c r="B972" s="11" t="s">
        <v>1854</v>
      </c>
      <c r="C972" s="11" t="s">
        <v>388</v>
      </c>
      <c r="D972" s="11" t="s">
        <v>352</v>
      </c>
      <c r="E972" s="11"/>
      <c r="F972" s="11" t="s">
        <v>358</v>
      </c>
      <c r="G972" s="11" t="s">
        <v>84</v>
      </c>
      <c r="H972" s="11"/>
      <c r="I972" s="11"/>
      <c r="J972" s="11" t="s">
        <v>343</v>
      </c>
      <c r="O972" s="1" t="n">
        <f aca="false">'Behovsmodell (75p)'!$B$68</f>
        <v>330040.65</v>
      </c>
      <c r="P972" s="1" t="n">
        <f aca="false">('Behovsmodell (75p)'!$B$68)/12</f>
        <v>27503.3875</v>
      </c>
    </row>
    <row r="973" customFormat="false" ht="15" hidden="false" customHeight="true" outlineLevel="0" collapsed="false">
      <c r="A973" s="11" t="s">
        <v>1861</v>
      </c>
      <c r="B973" s="11" t="s">
        <v>403</v>
      </c>
      <c r="C973" s="11" t="s">
        <v>403</v>
      </c>
      <c r="D973" s="11" t="s">
        <v>340</v>
      </c>
      <c r="E973" s="11" t="s">
        <v>341</v>
      </c>
      <c r="F973" s="11" t="s">
        <v>548</v>
      </c>
      <c r="G973" s="11"/>
      <c r="H973" s="11" t="s">
        <v>340</v>
      </c>
      <c r="I973" s="11"/>
      <c r="J973" s="11" t="s">
        <v>343</v>
      </c>
    </row>
    <row r="974" customFormat="false" ht="15" hidden="false" customHeight="true" outlineLevel="0" collapsed="false">
      <c r="A974" s="11" t="s">
        <v>1862</v>
      </c>
      <c r="B974" s="11" t="s">
        <v>1079</v>
      </c>
      <c r="C974" s="11" t="s">
        <v>414</v>
      </c>
      <c r="D974" s="11" t="s">
        <v>366</v>
      </c>
      <c r="E974" s="11"/>
      <c r="F974" s="11" t="s">
        <v>1863</v>
      </c>
      <c r="G974" s="11"/>
      <c r="H974" s="11" t="s">
        <v>366</v>
      </c>
      <c r="I974" s="11"/>
      <c r="J974" s="11" t="s">
        <v>343</v>
      </c>
    </row>
    <row r="975" customFormat="false" ht="15" hidden="false" customHeight="true" outlineLevel="0" collapsed="false">
      <c r="A975" s="11" t="s">
        <v>1864</v>
      </c>
      <c r="B975" s="11"/>
      <c r="C975" s="11" t="s">
        <v>351</v>
      </c>
      <c r="D975" s="11" t="s">
        <v>366</v>
      </c>
      <c r="E975" s="11" t="s">
        <v>341</v>
      </c>
      <c r="F975" s="11" t="s">
        <v>430</v>
      </c>
      <c r="G975" s="11"/>
      <c r="H975" s="11" t="s">
        <v>366</v>
      </c>
      <c r="I975" s="11"/>
      <c r="J975" s="11" t="s">
        <v>343</v>
      </c>
      <c r="K975" s="1" t="s">
        <v>1865</v>
      </c>
      <c r="L975" s="1" t="s">
        <v>1866</v>
      </c>
      <c r="M975" s="1" t="s">
        <v>1867</v>
      </c>
      <c r="N975" s="1" t="s">
        <v>1868</v>
      </c>
    </row>
    <row r="976" customFormat="false" ht="15" hidden="false" customHeight="true" outlineLevel="0" collapsed="false">
      <c r="A976" s="11" t="s">
        <v>1869</v>
      </c>
      <c r="B976" s="11"/>
      <c r="C976" s="11" t="s">
        <v>597</v>
      </c>
      <c r="D976" s="11"/>
      <c r="E976" s="11" t="s">
        <v>356</v>
      </c>
      <c r="F976" s="11"/>
      <c r="G976" s="11"/>
      <c r="H976" s="11"/>
      <c r="I976" s="11"/>
      <c r="J976" s="11" t="s">
        <v>343</v>
      </c>
    </row>
    <row r="977" customFormat="false" ht="15" hidden="false" customHeight="true" outlineLevel="0" collapsed="false">
      <c r="A977" s="11" t="s">
        <v>1870</v>
      </c>
      <c r="B977" s="11" t="s">
        <v>528</v>
      </c>
      <c r="C977" s="11" t="s">
        <v>355</v>
      </c>
      <c r="D977" s="11" t="s">
        <v>375</v>
      </c>
      <c r="E977" s="11" t="s">
        <v>356</v>
      </c>
      <c r="F977" s="11"/>
      <c r="G977" s="11" t="s">
        <v>68</v>
      </c>
      <c r="H977" s="11"/>
      <c r="I977" s="11"/>
      <c r="J977" s="11" t="s">
        <v>343</v>
      </c>
      <c r="O977" s="1" t="n">
        <f aca="false">'Behovsmodell (75p)'!$B$66</f>
        <v>206427.05</v>
      </c>
      <c r="P977" s="1" t="n">
        <f aca="false">('Behovsmodell (75p)'!$B$66)/12</f>
        <v>17202.2541666667</v>
      </c>
    </row>
    <row r="978" customFormat="false" ht="15" hidden="false" customHeight="true" outlineLevel="0" collapsed="false">
      <c r="A978" s="11" t="s">
        <v>1871</v>
      </c>
      <c r="B978" s="11" t="s">
        <v>405</v>
      </c>
      <c r="C978" s="11" t="s">
        <v>346</v>
      </c>
      <c r="D978" s="11" t="s">
        <v>366</v>
      </c>
      <c r="E978" s="11" t="s">
        <v>396</v>
      </c>
      <c r="F978" s="11"/>
      <c r="G978" s="11"/>
      <c r="H978" s="11" t="s">
        <v>366</v>
      </c>
      <c r="I978" s="11"/>
      <c r="J978" s="11" t="s">
        <v>343</v>
      </c>
      <c r="K978" s="1" t="s">
        <v>1872</v>
      </c>
      <c r="L978" s="1" t="s">
        <v>1873</v>
      </c>
      <c r="M978" s="1" t="s">
        <v>1874</v>
      </c>
      <c r="N978" s="1" t="s">
        <v>1875</v>
      </c>
    </row>
    <row r="979" customFormat="false" ht="15" hidden="false" customHeight="true" outlineLevel="0" collapsed="false">
      <c r="A979" s="11" t="s">
        <v>1876</v>
      </c>
      <c r="B979" s="11" t="s">
        <v>650</v>
      </c>
      <c r="C979" s="11" t="s">
        <v>414</v>
      </c>
      <c r="D979" s="11"/>
      <c r="E979" s="11" t="s">
        <v>356</v>
      </c>
      <c r="F979" s="11" t="s">
        <v>1019</v>
      </c>
      <c r="G979" s="11"/>
      <c r="H979" s="11"/>
      <c r="I979" s="11"/>
      <c r="J979" s="11" t="s">
        <v>343</v>
      </c>
    </row>
    <row r="980" customFormat="false" ht="15" hidden="false" customHeight="true" outlineLevel="0" collapsed="false">
      <c r="A980" s="11" t="s">
        <v>1877</v>
      </c>
      <c r="B980" s="11" t="s">
        <v>666</v>
      </c>
      <c r="C980" s="11" t="s">
        <v>414</v>
      </c>
      <c r="D980" s="11"/>
      <c r="E980" s="11" t="s">
        <v>356</v>
      </c>
      <c r="F980" s="11"/>
      <c r="G980" s="11"/>
      <c r="H980" s="11"/>
      <c r="I980" s="11"/>
      <c r="J980" s="11" t="s">
        <v>343</v>
      </c>
    </row>
    <row r="981" customFormat="false" ht="15" hidden="false" customHeight="true" outlineLevel="0" collapsed="false">
      <c r="A981" s="11" t="s">
        <v>1878</v>
      </c>
      <c r="B981" s="11"/>
      <c r="C981" s="11" t="s">
        <v>403</v>
      </c>
      <c r="D981" s="11" t="s">
        <v>375</v>
      </c>
      <c r="E981" s="11"/>
      <c r="F981" s="11" t="s">
        <v>358</v>
      </c>
      <c r="G981" s="11" t="s">
        <v>68</v>
      </c>
      <c r="H981" s="11"/>
      <c r="I981" s="11"/>
      <c r="J981" s="11" t="s">
        <v>343</v>
      </c>
      <c r="O981" s="1" t="n">
        <f aca="false">'Behovsmodell (75p)'!$B$66</f>
        <v>206427.05</v>
      </c>
      <c r="P981" s="1" t="n">
        <f aca="false">('Behovsmodell (75p)'!$B$66)/12</f>
        <v>17202.2541666667</v>
      </c>
    </row>
    <row r="982" customFormat="false" ht="15" hidden="false" customHeight="true" outlineLevel="0" collapsed="false">
      <c r="A982" s="11" t="s">
        <v>1879</v>
      </c>
      <c r="B982" s="11" t="s">
        <v>1880</v>
      </c>
      <c r="C982" s="11" t="s">
        <v>403</v>
      </c>
      <c r="D982" s="11" t="s">
        <v>352</v>
      </c>
      <c r="E982" s="11"/>
      <c r="F982" s="11" t="s">
        <v>1881</v>
      </c>
      <c r="G982" s="11" t="s">
        <v>84</v>
      </c>
      <c r="H982" s="11"/>
      <c r="I982" s="11"/>
      <c r="J982" s="11" t="s">
        <v>343</v>
      </c>
      <c r="K982" s="1" t="s">
        <v>1882</v>
      </c>
      <c r="L982" s="1" t="s">
        <v>1883</v>
      </c>
      <c r="M982" s="1" t="s">
        <v>1884</v>
      </c>
      <c r="N982" s="1" t="s">
        <v>1885</v>
      </c>
      <c r="O982" s="1" t="n">
        <f aca="false">'Behovsmodell (75p)'!$B$68</f>
        <v>330040.65</v>
      </c>
      <c r="P982" s="1" t="n">
        <f aca="false">('Behovsmodell (75p)'!$B$68)/12</f>
        <v>27503.3875</v>
      </c>
    </row>
    <row r="983" customFormat="false" ht="15" hidden="false" customHeight="true" outlineLevel="0" collapsed="false">
      <c r="A983" s="11" t="s">
        <v>1886</v>
      </c>
      <c r="B983" s="11" t="s">
        <v>536</v>
      </c>
      <c r="C983" s="11" t="s">
        <v>536</v>
      </c>
      <c r="D983" s="11" t="s">
        <v>340</v>
      </c>
      <c r="E983" s="11" t="s">
        <v>341</v>
      </c>
      <c r="F983" s="11" t="s">
        <v>1887</v>
      </c>
      <c r="G983" s="11"/>
      <c r="H983" s="11" t="s">
        <v>340</v>
      </c>
      <c r="I983" s="11"/>
      <c r="J983" s="11" t="s">
        <v>343</v>
      </c>
    </row>
    <row r="984" customFormat="false" ht="15" hidden="false" customHeight="true" outlineLevel="0" collapsed="false">
      <c r="A984" s="11" t="s">
        <v>1888</v>
      </c>
      <c r="B984" s="11" t="s">
        <v>338</v>
      </c>
      <c r="C984" s="11" t="s">
        <v>339</v>
      </c>
      <c r="D984" s="11" t="s">
        <v>340</v>
      </c>
      <c r="E984" s="11" t="s">
        <v>341</v>
      </c>
      <c r="F984" s="11" t="s">
        <v>353</v>
      </c>
      <c r="G984" s="11"/>
      <c r="H984" s="11" t="s">
        <v>340</v>
      </c>
      <c r="I984" s="11"/>
      <c r="J984" s="11" t="s">
        <v>343</v>
      </c>
    </row>
    <row r="985" customFormat="false" ht="15" hidden="false" customHeight="true" outlineLevel="0" collapsed="false">
      <c r="A985" s="11" t="s">
        <v>1889</v>
      </c>
      <c r="B985" s="11"/>
      <c r="C985" s="11" t="s">
        <v>339</v>
      </c>
      <c r="D985" s="11"/>
      <c r="E985" s="11" t="s">
        <v>356</v>
      </c>
      <c r="F985" s="11" t="s">
        <v>472</v>
      </c>
      <c r="G985" s="11"/>
      <c r="H985" s="11"/>
      <c r="I985" s="11"/>
      <c r="J985" s="11" t="s">
        <v>343</v>
      </c>
    </row>
    <row r="986" customFormat="false" ht="15" hidden="false" customHeight="true" outlineLevel="0" collapsed="false">
      <c r="A986" s="11" t="s">
        <v>1890</v>
      </c>
      <c r="B986" s="11" t="s">
        <v>695</v>
      </c>
      <c r="C986" s="11" t="s">
        <v>351</v>
      </c>
      <c r="D986" s="11"/>
      <c r="E986" s="11" t="s">
        <v>356</v>
      </c>
      <c r="F986" s="11"/>
      <c r="G986" s="11"/>
      <c r="H986" s="11"/>
      <c r="I986" s="11"/>
      <c r="J986" s="11" t="s">
        <v>343</v>
      </c>
      <c r="K986" s="1" t="s">
        <v>1891</v>
      </c>
      <c r="L986" s="1" t="s">
        <v>1892</v>
      </c>
      <c r="M986" s="1" t="s">
        <v>1893</v>
      </c>
      <c r="N986" s="1" t="s">
        <v>1894</v>
      </c>
    </row>
    <row r="987" customFormat="false" ht="15" hidden="false" customHeight="true" outlineLevel="0" collapsed="false">
      <c r="A987" s="11" t="s">
        <v>1895</v>
      </c>
      <c r="B987" s="11"/>
      <c r="C987" s="11" t="s">
        <v>355</v>
      </c>
      <c r="D987" s="11"/>
      <c r="E987" s="11" t="s">
        <v>356</v>
      </c>
      <c r="F987" s="11"/>
      <c r="G987" s="11"/>
      <c r="H987" s="11"/>
      <c r="I987" s="11"/>
      <c r="J987" s="11" t="s">
        <v>343</v>
      </c>
    </row>
    <row r="988" customFormat="false" ht="15" hidden="false" customHeight="true" outlineLevel="0" collapsed="false">
      <c r="A988" s="11" t="s">
        <v>1896</v>
      </c>
      <c r="B988" s="11" t="s">
        <v>1897</v>
      </c>
      <c r="C988" s="11" t="s">
        <v>536</v>
      </c>
      <c r="D988" s="11"/>
      <c r="E988" s="11" t="s">
        <v>356</v>
      </c>
      <c r="F988" s="11" t="s">
        <v>358</v>
      </c>
      <c r="G988" s="11"/>
      <c r="H988" s="11"/>
      <c r="I988" s="11"/>
      <c r="J988" s="11" t="s">
        <v>343</v>
      </c>
      <c r="N988" s="1" t="s">
        <v>571</v>
      </c>
    </row>
    <row r="989" customFormat="false" ht="15" hidden="false" customHeight="true" outlineLevel="0" collapsed="false">
      <c r="A989" s="11" t="s">
        <v>1898</v>
      </c>
      <c r="B989" s="11"/>
      <c r="C989" s="11" t="s">
        <v>355</v>
      </c>
      <c r="D989" s="11" t="s">
        <v>347</v>
      </c>
      <c r="E989" s="11" t="s">
        <v>356</v>
      </c>
      <c r="F989" s="11" t="s">
        <v>915</v>
      </c>
      <c r="G989" s="11" t="s">
        <v>31</v>
      </c>
      <c r="H989" s="11"/>
      <c r="I989" s="11"/>
      <c r="J989" s="11" t="s">
        <v>343</v>
      </c>
      <c r="O989" s="1" t="n">
        <f aca="false">'Behovsmodell (75p)'!$B$62</f>
        <v>85559</v>
      </c>
      <c r="P989" s="1" t="n">
        <f aca="false">('Behovsmodell (75p)'!$B$62)/12</f>
        <v>7129.91666666667</v>
      </c>
    </row>
    <row r="990" customFormat="false" ht="15" hidden="false" customHeight="true" outlineLevel="0" collapsed="false">
      <c r="A990" s="11" t="s">
        <v>1899</v>
      </c>
      <c r="B990" s="11"/>
      <c r="C990" s="11" t="s">
        <v>355</v>
      </c>
      <c r="D990" s="11" t="s">
        <v>340</v>
      </c>
      <c r="E990" s="11" t="s">
        <v>341</v>
      </c>
      <c r="F990" s="11"/>
      <c r="G990" s="11"/>
      <c r="H990" s="11" t="s">
        <v>340</v>
      </c>
      <c r="I990" s="11"/>
      <c r="J990" s="11" t="s">
        <v>343</v>
      </c>
    </row>
    <row r="991" customFormat="false" ht="15" hidden="false" customHeight="true" outlineLevel="0" collapsed="false">
      <c r="A991" s="11" t="s">
        <v>1900</v>
      </c>
      <c r="B991" s="11"/>
      <c r="C991" s="11" t="s">
        <v>355</v>
      </c>
      <c r="D991" s="11" t="s">
        <v>375</v>
      </c>
      <c r="E991" s="11" t="s">
        <v>356</v>
      </c>
      <c r="F991" s="11" t="s">
        <v>353</v>
      </c>
      <c r="G991" s="11" t="s">
        <v>68</v>
      </c>
      <c r="H991" s="11"/>
      <c r="I991" s="11"/>
      <c r="J991" s="11" t="s">
        <v>343</v>
      </c>
      <c r="O991" s="1" t="n">
        <f aca="false">'Behovsmodell (75p)'!$B$66</f>
        <v>206427.05</v>
      </c>
      <c r="P991" s="1" t="n">
        <f aca="false">('Behovsmodell (75p)'!$B$66)/12</f>
        <v>17202.2541666667</v>
      </c>
    </row>
    <row r="992" customFormat="false" ht="15" hidden="false" customHeight="true" outlineLevel="0" collapsed="false">
      <c r="A992" s="11" t="s">
        <v>1901</v>
      </c>
      <c r="B992" s="11"/>
      <c r="C992" s="11" t="s">
        <v>355</v>
      </c>
      <c r="D992" s="11" t="s">
        <v>366</v>
      </c>
      <c r="E992" s="11" t="s">
        <v>341</v>
      </c>
      <c r="F992" s="11"/>
      <c r="G992" s="11"/>
      <c r="H992" s="11" t="s">
        <v>366</v>
      </c>
      <c r="I992" s="11"/>
      <c r="J992" s="11" t="s">
        <v>343</v>
      </c>
    </row>
    <row r="993" customFormat="false" ht="15" hidden="false" customHeight="true" outlineLevel="0" collapsed="false">
      <c r="A993" s="11" t="s">
        <v>1902</v>
      </c>
      <c r="B993" s="11"/>
      <c r="C993" s="11" t="s">
        <v>339</v>
      </c>
      <c r="D993" s="11"/>
      <c r="E993" s="11" t="s">
        <v>356</v>
      </c>
      <c r="F993" s="11"/>
      <c r="G993" s="11"/>
      <c r="H993" s="11"/>
      <c r="I993" s="11"/>
      <c r="J993" s="11" t="s">
        <v>343</v>
      </c>
    </row>
    <row r="994" customFormat="false" ht="15" hidden="false" customHeight="true" outlineLevel="0" collapsed="false">
      <c r="A994" s="11" t="s">
        <v>1903</v>
      </c>
      <c r="B994" s="11" t="s">
        <v>692</v>
      </c>
      <c r="C994" s="11" t="s">
        <v>355</v>
      </c>
      <c r="D994" s="11"/>
      <c r="E994" s="11" t="s">
        <v>356</v>
      </c>
      <c r="F994" s="11" t="s">
        <v>539</v>
      </c>
      <c r="G994" s="11"/>
      <c r="H994" s="11"/>
      <c r="I994" s="11"/>
      <c r="J994" s="11" t="s">
        <v>343</v>
      </c>
    </row>
  </sheetData>
  <autoFilter ref="A1:P9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20"/>
    <col collapsed="false" customWidth="true" hidden="false" outlineLevel="0" max="6" min="6" style="1" width="26"/>
    <col collapsed="false" customWidth="true" hidden="false" outlineLevel="0" max="7" min="7" style="1" width="34"/>
    <col collapsed="false" customWidth="true" hidden="false" outlineLevel="0" max="8" min="8" style="1" width="26"/>
    <col collapsed="false" customWidth="true" hidden="false" outlineLevel="0" max="9" min="9" style="1" width="34"/>
    <col collapsed="false" customWidth="true" hidden="false" outlineLevel="0" max="12" min="10" style="1" width="26"/>
  </cols>
  <sheetData>
    <row r="1" customFormat="false" ht="15" hidden="false" customHeight="true" outlineLevel="0" collapsed="false">
      <c r="A1" s="23" t="s">
        <v>322</v>
      </c>
      <c r="B1" s="23" t="s">
        <v>323</v>
      </c>
      <c r="C1" s="23" t="s">
        <v>324</v>
      </c>
      <c r="D1" s="23" t="s">
        <v>331</v>
      </c>
      <c r="E1" s="23" t="s">
        <v>332</v>
      </c>
      <c r="F1" s="23" t="s">
        <v>333</v>
      </c>
      <c r="G1" s="23" t="s">
        <v>1904</v>
      </c>
      <c r="H1" s="23" t="s">
        <v>179</v>
      </c>
      <c r="I1" s="23" t="s">
        <v>1905</v>
      </c>
      <c r="J1" s="6" t="s">
        <v>1906</v>
      </c>
      <c r="K1" s="6" t="s">
        <v>335</v>
      </c>
      <c r="L1" s="6" t="s">
        <v>336</v>
      </c>
    </row>
    <row r="2" customFormat="false" ht="15" hidden="false" customHeight="true" outlineLevel="0" collapsed="false">
      <c r="A2" s="11" t="s">
        <v>226</v>
      </c>
      <c r="B2" s="11" t="s">
        <v>1907</v>
      </c>
      <c r="C2" s="11" t="s">
        <v>355</v>
      </c>
      <c r="D2" s="11" t="s">
        <v>228</v>
      </c>
      <c r="E2" s="11" t="s">
        <v>879</v>
      </c>
      <c r="F2" s="11" t="s">
        <v>880</v>
      </c>
      <c r="G2" s="11" t="s">
        <v>881</v>
      </c>
      <c r="H2" s="11" t="s">
        <v>1908</v>
      </c>
      <c r="I2" s="11"/>
    </row>
    <row r="3" customFormat="false" ht="15" hidden="false" customHeight="true" outlineLevel="0" collapsed="false">
      <c r="A3" s="11" t="s">
        <v>1102</v>
      </c>
      <c r="B3" s="11" t="s">
        <v>1909</v>
      </c>
      <c r="C3" s="11" t="s">
        <v>355</v>
      </c>
      <c r="D3" s="11" t="s">
        <v>1103</v>
      </c>
      <c r="E3" s="11" t="s">
        <v>1104</v>
      </c>
      <c r="F3" s="11" t="s">
        <v>1105</v>
      </c>
      <c r="G3" s="11" t="s">
        <v>1106</v>
      </c>
      <c r="H3" s="11" t="s">
        <v>1910</v>
      </c>
      <c r="I3" s="11"/>
    </row>
    <row r="4" customFormat="false" ht="15" hidden="false" customHeight="true" outlineLevel="0" collapsed="false">
      <c r="A4" s="11" t="s">
        <v>1911</v>
      </c>
      <c r="B4" s="11" t="s">
        <v>408</v>
      </c>
      <c r="C4" s="11" t="s">
        <v>355</v>
      </c>
      <c r="D4" s="11" t="s">
        <v>886</v>
      </c>
      <c r="E4" s="11" t="s">
        <v>887</v>
      </c>
      <c r="F4" s="11" t="s">
        <v>888</v>
      </c>
      <c r="G4" s="11" t="s">
        <v>889</v>
      </c>
      <c r="H4" s="11" t="s">
        <v>1910</v>
      </c>
      <c r="I4" s="11"/>
    </row>
    <row r="5" customFormat="false" ht="15" hidden="false" customHeight="true" outlineLevel="0" collapsed="false">
      <c r="A5" s="11" t="s">
        <v>1794</v>
      </c>
      <c r="B5" s="11" t="s">
        <v>345</v>
      </c>
      <c r="C5" s="11" t="s">
        <v>346</v>
      </c>
      <c r="D5" s="11" t="s">
        <v>1795</v>
      </c>
      <c r="E5" s="11" t="s">
        <v>1796</v>
      </c>
      <c r="F5" s="11" t="s">
        <v>1797</v>
      </c>
      <c r="G5" s="11" t="s">
        <v>1798</v>
      </c>
      <c r="H5" s="11" t="s">
        <v>1912</v>
      </c>
      <c r="I5" s="11"/>
    </row>
    <row r="6" customFormat="false" ht="15" hidden="false" customHeight="true" outlineLevel="0" collapsed="false">
      <c r="A6" s="11" t="s">
        <v>1871</v>
      </c>
      <c r="B6" s="11" t="s">
        <v>405</v>
      </c>
      <c r="C6" s="11" t="s">
        <v>346</v>
      </c>
      <c r="D6" s="11" t="s">
        <v>1872</v>
      </c>
      <c r="E6" s="11" t="s">
        <v>1873</v>
      </c>
      <c r="F6" s="11" t="s">
        <v>1874</v>
      </c>
      <c r="G6" s="11" t="s">
        <v>1875</v>
      </c>
      <c r="H6" s="11" t="s">
        <v>1913</v>
      </c>
      <c r="I6" s="11"/>
    </row>
    <row r="7" customFormat="false" ht="15" hidden="false" customHeight="true" outlineLevel="0" collapsed="false">
      <c r="A7" s="11" t="s">
        <v>682</v>
      </c>
      <c r="B7" s="11" t="s">
        <v>680</v>
      </c>
      <c r="C7" s="11" t="s">
        <v>339</v>
      </c>
      <c r="D7" s="11" t="s">
        <v>683</v>
      </c>
      <c r="E7" s="11" t="s">
        <v>684</v>
      </c>
      <c r="F7" s="11" t="s">
        <v>685</v>
      </c>
      <c r="G7" s="11" t="s">
        <v>686</v>
      </c>
      <c r="H7" s="11" t="s">
        <v>1914</v>
      </c>
      <c r="I7" s="11"/>
      <c r="J7" s="1" t="s">
        <v>84</v>
      </c>
      <c r="K7" s="1" t="n">
        <f aca="false">'Behovsmodell (75p)'!$B$68</f>
        <v>330040.65</v>
      </c>
      <c r="L7" s="1" t="n">
        <f aca="false">('Behovsmodell (75p)'!$B$68)/12</f>
        <v>27503.3875</v>
      </c>
    </row>
    <row r="8" customFormat="false" ht="15" hidden="false" customHeight="true" outlineLevel="0" collapsed="false">
      <c r="A8" s="11" t="s">
        <v>1915</v>
      </c>
      <c r="B8" s="11" t="s">
        <v>1916</v>
      </c>
      <c r="C8" s="11" t="s">
        <v>361</v>
      </c>
      <c r="D8" s="11" t="s">
        <v>588</v>
      </c>
      <c r="E8" s="11" t="s">
        <v>589</v>
      </c>
      <c r="F8" s="11" t="s">
        <v>590</v>
      </c>
      <c r="G8" s="11" t="s">
        <v>591</v>
      </c>
      <c r="H8" s="11" t="s">
        <v>1910</v>
      </c>
      <c r="I8" s="11"/>
    </row>
    <row r="9" customFormat="false" ht="15" hidden="false" customHeight="true" outlineLevel="0" collapsed="false">
      <c r="A9" s="11" t="s">
        <v>1257</v>
      </c>
      <c r="B9" s="11" t="s">
        <v>1917</v>
      </c>
      <c r="C9" s="11" t="s">
        <v>361</v>
      </c>
      <c r="D9" s="11" t="s">
        <v>220</v>
      </c>
      <c r="E9" s="11" t="s">
        <v>1258</v>
      </c>
      <c r="F9" s="11" t="s">
        <v>1259</v>
      </c>
      <c r="G9" s="11" t="s">
        <v>1260</v>
      </c>
      <c r="H9" s="11" t="s">
        <v>1918</v>
      </c>
      <c r="I9" s="11"/>
      <c r="J9" s="1" t="s">
        <v>84</v>
      </c>
      <c r="K9" s="1" t="n">
        <f aca="false">'Behovsmodell (75p)'!$B$68</f>
        <v>330040.65</v>
      </c>
      <c r="L9" s="1" t="n">
        <f aca="false">('Behovsmodell (75p)'!$B$68)/12</f>
        <v>27503.3875</v>
      </c>
    </row>
    <row r="10" customFormat="false" ht="15" hidden="false" customHeight="true" outlineLevel="0" collapsed="false">
      <c r="A10" s="11" t="s">
        <v>1072</v>
      </c>
      <c r="B10" s="11" t="s">
        <v>1919</v>
      </c>
      <c r="C10" s="11" t="s">
        <v>414</v>
      </c>
      <c r="D10" s="11" t="s">
        <v>1073</v>
      </c>
      <c r="E10" s="11" t="s">
        <v>1074</v>
      </c>
      <c r="F10" s="11" t="s">
        <v>1075</v>
      </c>
      <c r="G10" s="11" t="s">
        <v>1076</v>
      </c>
      <c r="H10" s="11" t="s">
        <v>1920</v>
      </c>
      <c r="I10" s="11"/>
      <c r="J10" s="1" t="s">
        <v>84</v>
      </c>
      <c r="K10" s="1" t="n">
        <f aca="false">'Behovsmodell (75p)'!$B$68</f>
        <v>330040.65</v>
      </c>
      <c r="L10" s="1" t="n">
        <f aca="false">('Behovsmodell (75p)'!$B$68)/12</f>
        <v>27503.3875</v>
      </c>
    </row>
    <row r="11" customFormat="false" ht="15" hidden="false" customHeight="true" outlineLevel="0" collapsed="false">
      <c r="A11" s="11" t="s">
        <v>1800</v>
      </c>
      <c r="B11" s="11" t="s">
        <v>1921</v>
      </c>
      <c r="C11" s="11" t="s">
        <v>414</v>
      </c>
      <c r="D11" s="11" t="s">
        <v>1801</v>
      </c>
      <c r="E11" s="11" t="s">
        <v>1802</v>
      </c>
      <c r="F11" s="11" t="s">
        <v>1803</v>
      </c>
      <c r="G11" s="11" t="s">
        <v>1804</v>
      </c>
      <c r="H11" s="11" t="s">
        <v>1922</v>
      </c>
      <c r="I11" s="11"/>
    </row>
    <row r="12" customFormat="false" ht="15" hidden="false" customHeight="true" outlineLevel="0" collapsed="false">
      <c r="A12" s="11" t="s">
        <v>1923</v>
      </c>
      <c r="B12" s="11" t="s">
        <v>1924</v>
      </c>
      <c r="C12" s="11" t="s">
        <v>381</v>
      </c>
      <c r="D12" s="11" t="s">
        <v>861</v>
      </c>
      <c r="E12" s="11" t="s">
        <v>862</v>
      </c>
      <c r="F12" s="11"/>
      <c r="G12" s="11" t="s">
        <v>863</v>
      </c>
      <c r="H12" s="11" t="s">
        <v>1925</v>
      </c>
      <c r="I12" s="11" t="s">
        <v>1926</v>
      </c>
    </row>
    <row r="13" customFormat="false" ht="15" hidden="false" customHeight="true" outlineLevel="0" collapsed="false">
      <c r="A13" s="11" t="s">
        <v>1456</v>
      </c>
      <c r="B13" s="11" t="s">
        <v>536</v>
      </c>
      <c r="C13" s="11" t="s">
        <v>536</v>
      </c>
      <c r="D13" s="11" t="s">
        <v>1008</v>
      </c>
      <c r="E13" s="11" t="s">
        <v>1009</v>
      </c>
      <c r="F13" s="11"/>
      <c r="G13" s="11" t="s">
        <v>1010</v>
      </c>
      <c r="H13" s="11" t="s">
        <v>1927</v>
      </c>
      <c r="I13" s="11"/>
      <c r="J13" s="1" t="s">
        <v>31</v>
      </c>
      <c r="K13" s="1" t="n">
        <f aca="false">'Behovsmodell (75p)'!$B$62</f>
        <v>85559</v>
      </c>
      <c r="L13" s="1" t="n">
        <f aca="false">('Behovsmodell (75p)'!$B$62)/12</f>
        <v>7129.91666666667</v>
      </c>
    </row>
    <row r="14" customFormat="false" ht="15" hidden="false" customHeight="true" outlineLevel="0" collapsed="false">
      <c r="A14" s="11" t="s">
        <v>1480</v>
      </c>
      <c r="B14" s="11" t="s">
        <v>1482</v>
      </c>
      <c r="C14" s="11" t="s">
        <v>536</v>
      </c>
      <c r="D14" s="11" t="s">
        <v>1481</v>
      </c>
      <c r="E14" s="11"/>
      <c r="F14" s="11"/>
      <c r="G14" s="11" t="s">
        <v>1482</v>
      </c>
      <c r="H14" s="11" t="s">
        <v>1928</v>
      </c>
      <c r="I14" s="11" t="s">
        <v>1929</v>
      </c>
      <c r="J14" s="1" t="s">
        <v>84</v>
      </c>
      <c r="K14" s="1" t="n">
        <f aca="false">'Behovsmodell (75p)'!$B$68</f>
        <v>330040.65</v>
      </c>
      <c r="L14" s="1" t="n">
        <f aca="false">('Behovsmodell (75p)'!$B$68)/12</f>
        <v>27503.3875</v>
      </c>
    </row>
    <row r="15" customFormat="false" ht="15" hidden="false" customHeight="true" outlineLevel="0" collapsed="false">
      <c r="A15" s="11" t="s">
        <v>1930</v>
      </c>
      <c r="B15" s="11" t="s">
        <v>1931</v>
      </c>
      <c r="C15" s="11" t="s">
        <v>536</v>
      </c>
      <c r="D15" s="11" t="s">
        <v>1776</v>
      </c>
      <c r="E15" s="11" t="s">
        <v>1777</v>
      </c>
      <c r="F15" s="11" t="s">
        <v>1778</v>
      </c>
      <c r="G15" s="11" t="s">
        <v>1779</v>
      </c>
      <c r="H15" s="11" t="s">
        <v>1932</v>
      </c>
      <c r="I15" s="11"/>
    </row>
    <row r="16" customFormat="false" ht="15" hidden="false" customHeight="true" outlineLevel="0" collapsed="false">
      <c r="A16" s="11" t="s">
        <v>1933</v>
      </c>
      <c r="B16" s="11" t="s">
        <v>387</v>
      </c>
      <c r="C16" s="11" t="s">
        <v>388</v>
      </c>
      <c r="D16" s="11" t="s">
        <v>389</v>
      </c>
      <c r="E16" s="11" t="s">
        <v>390</v>
      </c>
      <c r="F16" s="11" t="s">
        <v>391</v>
      </c>
      <c r="G16" s="11" t="s">
        <v>392</v>
      </c>
      <c r="H16" s="11" t="s">
        <v>1912</v>
      </c>
      <c r="I16" s="11"/>
      <c r="J16" s="1" t="s">
        <v>31</v>
      </c>
      <c r="K16" s="1" t="n">
        <f aca="false">'Behovsmodell (75p)'!$B$62</f>
        <v>85559</v>
      </c>
      <c r="L16" s="1" t="n">
        <f aca="false">('Behovsmodell (75p)'!$B$62)/12</f>
        <v>7129.91666666667</v>
      </c>
    </row>
    <row r="17" customFormat="false" ht="15" hidden="false" customHeight="true" outlineLevel="0" collapsed="false">
      <c r="A17" s="11" t="s">
        <v>1934</v>
      </c>
      <c r="B17" s="11" t="s">
        <v>481</v>
      </c>
      <c r="C17" s="11" t="s">
        <v>457</v>
      </c>
      <c r="D17" s="11" t="s">
        <v>482</v>
      </c>
      <c r="E17" s="11" t="s">
        <v>483</v>
      </c>
      <c r="F17" s="11" t="s">
        <v>484</v>
      </c>
      <c r="G17" s="11" t="s">
        <v>485</v>
      </c>
      <c r="H17" s="11" t="s">
        <v>1935</v>
      </c>
      <c r="I17" s="11"/>
    </row>
    <row r="18" customFormat="false" ht="15" hidden="false" customHeight="true" outlineLevel="0" collapsed="false">
      <c r="A18" s="11" t="s">
        <v>763</v>
      </c>
      <c r="B18" s="11" t="s">
        <v>1936</v>
      </c>
      <c r="C18" s="11" t="s">
        <v>457</v>
      </c>
      <c r="D18" s="11" t="s">
        <v>765</v>
      </c>
      <c r="E18" s="11" t="s">
        <v>766</v>
      </c>
      <c r="F18" s="11"/>
      <c r="G18" s="11" t="s">
        <v>767</v>
      </c>
      <c r="H18" s="11" t="s">
        <v>1937</v>
      </c>
      <c r="I18" s="11" t="s">
        <v>1938</v>
      </c>
    </row>
    <row r="19" customFormat="false" ht="15" hidden="false" customHeight="true" outlineLevel="0" collapsed="false">
      <c r="A19" s="11" t="s">
        <v>529</v>
      </c>
      <c r="B19" s="11" t="s">
        <v>1939</v>
      </c>
      <c r="C19" s="11" t="s">
        <v>457</v>
      </c>
      <c r="D19" s="11" t="s">
        <v>531</v>
      </c>
      <c r="E19" s="11" t="s">
        <v>532</v>
      </c>
      <c r="F19" s="11"/>
      <c r="G19" s="11" t="s">
        <v>533</v>
      </c>
      <c r="H19" s="11" t="s">
        <v>1940</v>
      </c>
      <c r="I19" s="11"/>
      <c r="J19" s="1" t="s">
        <v>77</v>
      </c>
      <c r="K19" s="1" t="n">
        <f aca="false">'Behovsmodell (75p)'!$B$67</f>
        <v>58231.2</v>
      </c>
      <c r="L19" s="1" t="n">
        <f aca="false">('Behovsmodell (75p)'!$B$67)/12</f>
        <v>4852.6</v>
      </c>
    </row>
    <row r="20" customFormat="false" ht="15" hidden="false" customHeight="true" outlineLevel="0" collapsed="false">
      <c r="A20" s="11" t="s">
        <v>1467</v>
      </c>
      <c r="B20" s="11" t="s">
        <v>1941</v>
      </c>
      <c r="C20" s="11" t="s">
        <v>597</v>
      </c>
      <c r="D20" s="11" t="s">
        <v>1468</v>
      </c>
      <c r="E20" s="11" t="s">
        <v>1469</v>
      </c>
      <c r="F20" s="11" t="s">
        <v>1470</v>
      </c>
      <c r="G20" s="11" t="s">
        <v>1471</v>
      </c>
      <c r="H20" s="11" t="s">
        <v>1942</v>
      </c>
      <c r="I20" s="11"/>
      <c r="J20" s="1" t="s">
        <v>31</v>
      </c>
      <c r="K20" s="1" t="n">
        <f aca="false">'Behovsmodell (75p)'!$B$62</f>
        <v>85559</v>
      </c>
      <c r="L20" s="1" t="n">
        <f aca="false">('Behovsmodell (75p)'!$B$62)/12</f>
        <v>7129.91666666667</v>
      </c>
    </row>
    <row r="21" customFormat="false" ht="15" hidden="false" customHeight="true" outlineLevel="0" collapsed="false">
      <c r="A21" s="11" t="s">
        <v>463</v>
      </c>
      <c r="B21" s="11" t="s">
        <v>449</v>
      </c>
      <c r="C21" s="11" t="s">
        <v>245</v>
      </c>
      <c r="D21" s="11" t="s">
        <v>465</v>
      </c>
      <c r="E21" s="11" t="s">
        <v>466</v>
      </c>
      <c r="F21" s="11" t="s">
        <v>467</v>
      </c>
      <c r="G21" s="11" t="s">
        <v>468</v>
      </c>
      <c r="H21" s="11" t="s">
        <v>1935</v>
      </c>
      <c r="I21" s="11"/>
    </row>
    <row r="22" customFormat="false" ht="15" hidden="false" customHeight="true" outlineLevel="0" collapsed="false">
      <c r="A22" s="11" t="s">
        <v>1134</v>
      </c>
      <c r="B22" s="11" t="s">
        <v>1943</v>
      </c>
      <c r="C22" s="11" t="s">
        <v>245</v>
      </c>
      <c r="D22" s="11" t="s">
        <v>1135</v>
      </c>
      <c r="E22" s="11" t="s">
        <v>1136</v>
      </c>
      <c r="F22" s="11" t="s">
        <v>1137</v>
      </c>
      <c r="G22" s="11" t="s">
        <v>1138</v>
      </c>
      <c r="H22" s="11" t="s">
        <v>1944</v>
      </c>
      <c r="I22" s="11"/>
    </row>
    <row r="23" customFormat="false" ht="15" hidden="false" customHeight="true" outlineLevel="0" collapsed="false">
      <c r="A23" s="11" t="s">
        <v>1945</v>
      </c>
      <c r="B23" s="11" t="s">
        <v>1946</v>
      </c>
      <c r="C23" s="11" t="s">
        <v>245</v>
      </c>
      <c r="D23" s="11" t="s">
        <v>1598</v>
      </c>
      <c r="E23" s="11" t="s">
        <v>1599</v>
      </c>
      <c r="F23" s="11" t="s">
        <v>1600</v>
      </c>
      <c r="G23" s="11" t="s">
        <v>1601</v>
      </c>
      <c r="H23" s="11" t="s">
        <v>1947</v>
      </c>
      <c r="I23" s="11" t="s">
        <v>1948</v>
      </c>
    </row>
    <row r="24" customFormat="false" ht="15" hidden="false" customHeight="true" outlineLevel="0" collapsed="false">
      <c r="A24" s="11" t="s">
        <v>1949</v>
      </c>
      <c r="B24" s="11" t="s">
        <v>1950</v>
      </c>
      <c r="C24" s="11" t="s">
        <v>403</v>
      </c>
      <c r="D24" s="11" t="s">
        <v>1882</v>
      </c>
      <c r="E24" s="11" t="s">
        <v>1883</v>
      </c>
      <c r="F24" s="11" t="s">
        <v>1884</v>
      </c>
      <c r="G24" s="11" t="s">
        <v>1885</v>
      </c>
      <c r="H24" s="11" t="s">
        <v>1951</v>
      </c>
      <c r="I24" s="11"/>
      <c r="J24" s="1" t="s">
        <v>84</v>
      </c>
      <c r="K24" s="1" t="n">
        <f aca="false">'Behovsmodell (75p)'!$B$68</f>
        <v>330040.65</v>
      </c>
      <c r="L24" s="1" t="n">
        <f aca="false">('Behovsmodell (75p)'!$B$68)/12</f>
        <v>27503.3875</v>
      </c>
    </row>
    <row r="25" customFormat="false" ht="15" hidden="false" customHeight="true" outlineLevel="0" collapsed="false">
      <c r="A25" s="11" t="s">
        <v>1952</v>
      </c>
      <c r="B25" s="11" t="s">
        <v>1953</v>
      </c>
      <c r="C25" s="11" t="s">
        <v>403</v>
      </c>
      <c r="D25" s="11" t="s">
        <v>1817</v>
      </c>
      <c r="E25" s="11" t="s">
        <v>1818</v>
      </c>
      <c r="F25" s="11" t="s">
        <v>1819</v>
      </c>
      <c r="G25" s="11" t="s">
        <v>1820</v>
      </c>
      <c r="H25" s="11" t="s">
        <v>1908</v>
      </c>
      <c r="I25" s="11"/>
    </row>
    <row r="26" customFormat="false" ht="15" hidden="false" customHeight="true" outlineLevel="0" collapsed="false">
      <c r="A26" s="11" t="s">
        <v>1583</v>
      </c>
      <c r="B26" s="11" t="s">
        <v>1954</v>
      </c>
      <c r="C26" s="11" t="s">
        <v>403</v>
      </c>
      <c r="D26" s="11" t="s">
        <v>1585</v>
      </c>
      <c r="E26" s="11" t="s">
        <v>1586</v>
      </c>
      <c r="F26" s="11"/>
      <c r="G26" s="11" t="s">
        <v>1587</v>
      </c>
      <c r="H26" s="11" t="s">
        <v>1955</v>
      </c>
      <c r="I26" s="11"/>
    </row>
    <row r="27" customFormat="false" ht="15" hidden="false" customHeight="true" outlineLevel="0" collapsed="false">
      <c r="A27" s="11" t="s">
        <v>1367</v>
      </c>
      <c r="B27" s="11" t="s">
        <v>1956</v>
      </c>
      <c r="C27" s="11" t="s">
        <v>351</v>
      </c>
      <c r="D27" s="11" t="s">
        <v>1368</v>
      </c>
      <c r="E27" s="11" t="s">
        <v>1369</v>
      </c>
      <c r="F27" s="11" t="s">
        <v>1370</v>
      </c>
      <c r="G27" s="11" t="s">
        <v>1371</v>
      </c>
      <c r="H27" s="11" t="s">
        <v>1957</v>
      </c>
      <c r="I27" s="11"/>
      <c r="J27" s="1" t="s">
        <v>84</v>
      </c>
      <c r="K27" s="1" t="n">
        <f aca="false">'Behovsmodell (75p)'!$B$68</f>
        <v>330040.65</v>
      </c>
      <c r="L27" s="1" t="n">
        <f aca="false">('Behovsmodell (75p)'!$B$68)/12</f>
        <v>27503.3875</v>
      </c>
    </row>
    <row r="28" customFormat="false" ht="15" hidden="false" customHeight="true" outlineLevel="0" collapsed="false">
      <c r="A28" s="11" t="s">
        <v>931</v>
      </c>
      <c r="B28" s="11" t="s">
        <v>1958</v>
      </c>
      <c r="C28" s="11" t="s">
        <v>339</v>
      </c>
      <c r="D28" s="11" t="s">
        <v>932</v>
      </c>
      <c r="E28" s="11" t="s">
        <v>933</v>
      </c>
      <c r="F28" s="11"/>
      <c r="G28" s="11" t="s">
        <v>934</v>
      </c>
      <c r="H28" s="11" t="s">
        <v>1959</v>
      </c>
      <c r="I28" s="11"/>
      <c r="J28" s="1" t="s">
        <v>84</v>
      </c>
      <c r="K28" s="1" t="n">
        <f aca="false">'Behovsmodell (75p)'!$B$68</f>
        <v>330040.65</v>
      </c>
      <c r="L28" s="1" t="n">
        <f aca="false">('Behovsmodell (75p)'!$B$68)/12</f>
        <v>27503.3875</v>
      </c>
    </row>
    <row r="29" customFormat="false" ht="15" hidden="false" customHeight="true" outlineLevel="0" collapsed="false">
      <c r="A29" s="11" t="s">
        <v>374</v>
      </c>
      <c r="B29" s="11" t="s">
        <v>1960</v>
      </c>
      <c r="C29" s="11" t="s">
        <v>339</v>
      </c>
      <c r="D29" s="11"/>
      <c r="E29" s="11"/>
      <c r="F29" s="11"/>
      <c r="G29" s="11" t="s">
        <v>376</v>
      </c>
      <c r="H29" s="11" t="s">
        <v>1961</v>
      </c>
      <c r="I29" s="11" t="s">
        <v>1962</v>
      </c>
      <c r="J29" s="1" t="s">
        <v>68</v>
      </c>
      <c r="K29" s="1" t="n">
        <f aca="false">'Behovsmodell (75p)'!$B$66</f>
        <v>206427.05</v>
      </c>
      <c r="L29" s="1" t="n">
        <f aca="false">('Behovsmodell (75p)'!$B$66)/12</f>
        <v>17202.2541666667</v>
      </c>
    </row>
    <row r="30" customFormat="false" ht="15" hidden="false" customHeight="true" outlineLevel="0" collapsed="false">
      <c r="A30" s="11" t="s">
        <v>419</v>
      </c>
      <c r="B30" s="11" t="s">
        <v>338</v>
      </c>
      <c r="C30" s="11" t="s">
        <v>339</v>
      </c>
      <c r="D30" s="11" t="s">
        <v>420</v>
      </c>
      <c r="E30" s="11" t="s">
        <v>421</v>
      </c>
      <c r="F30" s="11"/>
      <c r="G30" s="11" t="s">
        <v>422</v>
      </c>
      <c r="H30" s="11" t="s">
        <v>1963</v>
      </c>
      <c r="I30" s="11" t="s">
        <v>1964</v>
      </c>
      <c r="J30" s="1" t="s">
        <v>84</v>
      </c>
      <c r="K30" s="1" t="n">
        <f aca="false">'Behovsmodell (75p)'!$B$68</f>
        <v>330040.65</v>
      </c>
      <c r="L30" s="1" t="n">
        <f aca="false">('Behovsmodell (75p)'!$B$68)/12</f>
        <v>27503.3875</v>
      </c>
    </row>
    <row r="31" customFormat="false" ht="15" hidden="false" customHeight="true" outlineLevel="0" collapsed="false">
      <c r="A31" s="11" t="s">
        <v>1518</v>
      </c>
      <c r="B31" s="11" t="s">
        <v>1965</v>
      </c>
      <c r="C31" s="11" t="s">
        <v>339</v>
      </c>
      <c r="D31" s="11" t="s">
        <v>1519</v>
      </c>
      <c r="E31" s="11" t="s">
        <v>1520</v>
      </c>
      <c r="F31" s="11" t="s">
        <v>1521</v>
      </c>
      <c r="G31" s="11" t="s">
        <v>1522</v>
      </c>
      <c r="H31" s="11" t="s">
        <v>1966</v>
      </c>
      <c r="I31" s="11"/>
      <c r="J31" s="1" t="s">
        <v>84</v>
      </c>
      <c r="K31" s="1" t="n">
        <f aca="false">'Behovsmodell (75p)'!$B$68</f>
        <v>330040.65</v>
      </c>
      <c r="L31" s="1" t="n">
        <f aca="false">('Behovsmodell (75p)'!$B$68)/12</f>
        <v>27503.3875</v>
      </c>
    </row>
    <row r="32" customFormat="false" ht="15" hidden="false" customHeight="true" outlineLevel="0" collapsed="false">
      <c r="A32" s="11" t="s">
        <v>1141</v>
      </c>
      <c r="B32" s="11" t="s">
        <v>1967</v>
      </c>
      <c r="C32" s="11" t="s">
        <v>339</v>
      </c>
      <c r="D32" s="11" t="s">
        <v>1142</v>
      </c>
      <c r="E32" s="11" t="s">
        <v>1143</v>
      </c>
      <c r="F32" s="11" t="s">
        <v>1144</v>
      </c>
      <c r="G32" s="11" t="s">
        <v>1145</v>
      </c>
      <c r="H32" s="11" t="s">
        <v>1968</v>
      </c>
      <c r="I32" s="11"/>
      <c r="J32" s="1" t="s">
        <v>84</v>
      </c>
      <c r="K32" s="1" t="n">
        <f aca="false">'Behovsmodell (75p)'!$B$68</f>
        <v>330040.65</v>
      </c>
      <c r="L32" s="1" t="n">
        <f aca="false">('Behovsmodell (75p)'!$B$68)/12</f>
        <v>27503.3875</v>
      </c>
    </row>
    <row r="33" customFormat="false" ht="15" hidden="false" customHeight="true" outlineLevel="0" collapsed="false">
      <c r="A33" s="11" t="s">
        <v>1318</v>
      </c>
      <c r="B33" s="11" t="s">
        <v>1969</v>
      </c>
      <c r="C33" s="11" t="s">
        <v>339</v>
      </c>
      <c r="D33" s="11" t="s">
        <v>1319</v>
      </c>
      <c r="E33" s="11" t="s">
        <v>1320</v>
      </c>
      <c r="F33" s="11"/>
      <c r="G33" s="11" t="s">
        <v>1321</v>
      </c>
      <c r="H33" s="11" t="s">
        <v>1970</v>
      </c>
      <c r="I33" s="11" t="s">
        <v>1971</v>
      </c>
      <c r="J33" s="1" t="s">
        <v>68</v>
      </c>
      <c r="K33" s="1" t="n">
        <f aca="false">'Behovsmodell (75p)'!$B$66</f>
        <v>206427.05</v>
      </c>
      <c r="L33" s="1" t="n">
        <f aca="false">('Behovsmodell (75p)'!$B$66)/12</f>
        <v>17202.2541666667</v>
      </c>
    </row>
    <row r="34" customFormat="false" ht="15" hidden="false" customHeight="true" outlineLevel="0" collapsed="false">
      <c r="A34" s="11" t="s">
        <v>1972</v>
      </c>
      <c r="B34" s="11" t="s">
        <v>1973</v>
      </c>
      <c r="C34" s="11" t="s">
        <v>339</v>
      </c>
      <c r="D34" s="11" t="s">
        <v>1559</v>
      </c>
      <c r="E34" s="11" t="s">
        <v>1560</v>
      </c>
      <c r="F34" s="11"/>
      <c r="G34" s="11" t="s">
        <v>1561</v>
      </c>
      <c r="H34" s="11" t="s">
        <v>1974</v>
      </c>
      <c r="I34" s="11" t="s">
        <v>1975</v>
      </c>
      <c r="J34" s="1" t="s">
        <v>68</v>
      </c>
      <c r="K34" s="1" t="n">
        <f aca="false">'Behovsmodell (75p)'!$B$66</f>
        <v>206427.05</v>
      </c>
      <c r="L34" s="1" t="n">
        <f aca="false">('Behovsmodell (75p)'!$B$66)/12</f>
        <v>17202.2541666667</v>
      </c>
    </row>
    <row r="35" customFormat="false" ht="15" hidden="false" customHeight="true" outlineLevel="0" collapsed="false">
      <c r="A35" s="11" t="s">
        <v>1750</v>
      </c>
      <c r="B35" s="11" t="s">
        <v>828</v>
      </c>
      <c r="C35" s="11" t="s">
        <v>339</v>
      </c>
      <c r="D35" s="11" t="s">
        <v>1751</v>
      </c>
      <c r="E35" s="11" t="s">
        <v>1752</v>
      </c>
      <c r="F35" s="11" t="s">
        <v>1753</v>
      </c>
      <c r="G35" s="11" t="s">
        <v>1754</v>
      </c>
      <c r="H35" s="11" t="s">
        <v>1976</v>
      </c>
      <c r="I35" s="11"/>
      <c r="J35" s="1" t="s">
        <v>68</v>
      </c>
      <c r="K35" s="1" t="n">
        <f aca="false">'Behovsmodell (75p)'!$B$66</f>
        <v>206427.05</v>
      </c>
      <c r="L35" s="1" t="n">
        <f aca="false">('Behovsmodell (75p)'!$B$66)/12</f>
        <v>17202.2541666667</v>
      </c>
    </row>
    <row r="36" customFormat="false" ht="15" hidden="false" customHeight="true" outlineLevel="0" collapsed="false">
      <c r="A36" s="11" t="s">
        <v>1977</v>
      </c>
      <c r="B36" s="11" t="s">
        <v>1978</v>
      </c>
      <c r="C36" s="11" t="s">
        <v>339</v>
      </c>
      <c r="D36" s="11" t="s">
        <v>1979</v>
      </c>
      <c r="E36" s="11" t="s">
        <v>1980</v>
      </c>
      <c r="F36" s="11"/>
      <c r="G36" s="11" t="s">
        <v>1981</v>
      </c>
      <c r="H36" s="11" t="s">
        <v>1982</v>
      </c>
      <c r="I36" s="11"/>
    </row>
    <row r="37" customFormat="false" ht="15" hidden="false" customHeight="true" outlineLevel="0" collapsed="false">
      <c r="A37" s="11" t="s">
        <v>1983</v>
      </c>
      <c r="B37" s="11" t="s">
        <v>1984</v>
      </c>
      <c r="C37" s="11" t="s">
        <v>339</v>
      </c>
      <c r="D37" s="11" t="s">
        <v>1985</v>
      </c>
      <c r="E37" s="11" t="s">
        <v>1986</v>
      </c>
      <c r="F37" s="11" t="s">
        <v>1987</v>
      </c>
      <c r="G37" s="11" t="s">
        <v>1988</v>
      </c>
      <c r="H37" s="11" t="s">
        <v>1989</v>
      </c>
      <c r="I37" s="11"/>
    </row>
    <row r="38" customFormat="false" ht="15" hidden="false" customHeight="true" outlineLevel="0" collapsed="false">
      <c r="A38" s="11" t="s">
        <v>1990</v>
      </c>
      <c r="B38" s="11" t="s">
        <v>1991</v>
      </c>
      <c r="C38" s="11" t="s">
        <v>339</v>
      </c>
      <c r="D38" s="11" t="s">
        <v>1543</v>
      </c>
      <c r="E38" s="11" t="s">
        <v>1544</v>
      </c>
      <c r="F38" s="11" t="s">
        <v>1545</v>
      </c>
      <c r="G38" s="11" t="s">
        <v>1546</v>
      </c>
      <c r="H38" s="11" t="s">
        <v>1992</v>
      </c>
      <c r="I38" s="11"/>
      <c r="J38" s="1" t="s">
        <v>84</v>
      </c>
      <c r="K38" s="1" t="n">
        <f aca="false">'Behovsmodell (75p)'!$B$68</f>
        <v>330040.65</v>
      </c>
      <c r="L38" s="1" t="n">
        <f aca="false">('Behovsmodell (75p)'!$B$68)/12</f>
        <v>27503.3875</v>
      </c>
    </row>
    <row r="39" customFormat="false" ht="15" hidden="false" customHeight="true" outlineLevel="0" collapsed="false">
      <c r="A39" s="11" t="s">
        <v>1993</v>
      </c>
      <c r="B39" s="11" t="s">
        <v>1994</v>
      </c>
      <c r="C39" s="11" t="s">
        <v>339</v>
      </c>
      <c r="D39" s="11" t="s">
        <v>1995</v>
      </c>
      <c r="E39" s="11" t="s">
        <v>1996</v>
      </c>
      <c r="F39" s="11"/>
      <c r="G39" s="11" t="s">
        <v>1997</v>
      </c>
      <c r="H39" s="11" t="s">
        <v>1998</v>
      </c>
      <c r="I39" s="11" t="s">
        <v>1999</v>
      </c>
    </row>
    <row r="40" customFormat="false" ht="15" hidden="false" customHeight="true" outlineLevel="0" collapsed="false">
      <c r="A40" s="11" t="s">
        <v>1217</v>
      </c>
      <c r="B40" s="11" t="s">
        <v>2000</v>
      </c>
      <c r="C40" s="11" t="s">
        <v>339</v>
      </c>
      <c r="D40" s="11" t="s">
        <v>1218</v>
      </c>
      <c r="E40" s="11" t="s">
        <v>1219</v>
      </c>
      <c r="F40" s="11" t="s">
        <v>1220</v>
      </c>
      <c r="G40" s="11" t="s">
        <v>1221</v>
      </c>
      <c r="H40" s="11" t="s">
        <v>1218</v>
      </c>
      <c r="I40" s="11"/>
    </row>
    <row r="41" customFormat="false" ht="15" hidden="false" customHeight="true" outlineLevel="0" collapsed="false">
      <c r="A41" s="11" t="s">
        <v>2001</v>
      </c>
      <c r="B41" s="11" t="s">
        <v>2002</v>
      </c>
      <c r="C41" s="11" t="s">
        <v>339</v>
      </c>
      <c r="D41" s="11" t="s">
        <v>2003</v>
      </c>
      <c r="E41" s="11" t="s">
        <v>2004</v>
      </c>
      <c r="F41" s="11" t="s">
        <v>2005</v>
      </c>
      <c r="G41" s="11" t="s">
        <v>2006</v>
      </c>
      <c r="H41" s="11" t="s">
        <v>2007</v>
      </c>
      <c r="I41" s="11" t="s">
        <v>2008</v>
      </c>
    </row>
    <row r="42" customFormat="false" ht="15" hidden="false" customHeight="true" outlineLevel="0" collapsed="false">
      <c r="A42" s="11" t="s">
        <v>2009</v>
      </c>
      <c r="B42" s="11" t="s">
        <v>2010</v>
      </c>
      <c r="C42" s="11" t="s">
        <v>339</v>
      </c>
      <c r="D42" s="11" t="s">
        <v>2011</v>
      </c>
      <c r="E42" s="11" t="s">
        <v>2012</v>
      </c>
      <c r="F42" s="11"/>
      <c r="G42" s="11" t="s">
        <v>2013</v>
      </c>
      <c r="H42" s="11" t="s">
        <v>2014</v>
      </c>
      <c r="I42" s="11"/>
    </row>
    <row r="43" customFormat="false" ht="15" hidden="false" customHeight="true" outlineLevel="0" collapsed="false">
      <c r="A43" s="11" t="s">
        <v>2015</v>
      </c>
      <c r="B43" s="11" t="s">
        <v>2016</v>
      </c>
      <c r="C43" s="11" t="s">
        <v>339</v>
      </c>
      <c r="D43" s="11" t="s">
        <v>2017</v>
      </c>
      <c r="E43" s="11" t="s">
        <v>2018</v>
      </c>
      <c r="F43" s="11" t="s">
        <v>2019</v>
      </c>
      <c r="G43" s="11" t="s">
        <v>2020</v>
      </c>
      <c r="H43" s="11" t="s">
        <v>2021</v>
      </c>
      <c r="I43" s="11" t="s">
        <v>2022</v>
      </c>
    </row>
    <row r="44" customFormat="false" ht="15" hidden="false" customHeight="true" outlineLevel="0" collapsed="false">
      <c r="A44" s="11" t="s">
        <v>2023</v>
      </c>
      <c r="B44" s="11" t="s">
        <v>2024</v>
      </c>
      <c r="C44" s="11" t="s">
        <v>339</v>
      </c>
      <c r="D44" s="11" t="s">
        <v>939</v>
      </c>
      <c r="E44" s="11" t="s">
        <v>940</v>
      </c>
      <c r="F44" s="11"/>
      <c r="G44" s="11" t="s">
        <v>941</v>
      </c>
      <c r="H44" s="11" t="s">
        <v>2025</v>
      </c>
      <c r="I44" s="11"/>
    </row>
    <row r="45" customFormat="false" ht="15" hidden="false" customHeight="true" outlineLevel="0" collapsed="false">
      <c r="A45" s="11" t="s">
        <v>2026</v>
      </c>
      <c r="B45" s="11" t="s">
        <v>2027</v>
      </c>
      <c r="C45" s="11" t="s">
        <v>339</v>
      </c>
      <c r="D45" s="11" t="s">
        <v>2028</v>
      </c>
      <c r="E45" s="11" t="s">
        <v>2029</v>
      </c>
      <c r="F45" s="11" t="s">
        <v>2030</v>
      </c>
      <c r="G45" s="11" t="s">
        <v>2031</v>
      </c>
      <c r="H45" s="11" t="s">
        <v>2032</v>
      </c>
      <c r="I45" s="11"/>
    </row>
    <row r="46" customFormat="false" ht="15" hidden="false" customHeight="true" outlineLevel="0" collapsed="false">
      <c r="A46" s="11" t="s">
        <v>1404</v>
      </c>
      <c r="B46" s="11" t="s">
        <v>2033</v>
      </c>
      <c r="C46" s="11" t="s">
        <v>339</v>
      </c>
      <c r="D46" s="11" t="s">
        <v>1405</v>
      </c>
      <c r="E46" s="11" t="s">
        <v>1406</v>
      </c>
      <c r="F46" s="11" t="s">
        <v>1407</v>
      </c>
      <c r="G46" s="11" t="s">
        <v>1408</v>
      </c>
      <c r="H46" s="11" t="s">
        <v>2034</v>
      </c>
      <c r="I46" s="11"/>
    </row>
    <row r="47" customFormat="false" ht="15" hidden="false" customHeight="true" outlineLevel="0" collapsed="false">
      <c r="A47" s="11" t="s">
        <v>2035</v>
      </c>
      <c r="B47" s="11" t="s">
        <v>2036</v>
      </c>
      <c r="C47" s="11" t="s">
        <v>339</v>
      </c>
      <c r="D47" s="11" t="s">
        <v>2037</v>
      </c>
      <c r="E47" s="11" t="s">
        <v>2038</v>
      </c>
      <c r="F47" s="11" t="s">
        <v>2039</v>
      </c>
      <c r="G47" s="11" t="s">
        <v>2040</v>
      </c>
      <c r="H47" s="11" t="s">
        <v>2041</v>
      </c>
      <c r="I47" s="11"/>
    </row>
    <row r="48" customFormat="false" ht="15" hidden="false" customHeight="true" outlineLevel="0" collapsed="false">
      <c r="A48" s="11" t="s">
        <v>2042</v>
      </c>
      <c r="B48" s="11" t="s">
        <v>2043</v>
      </c>
      <c r="C48" s="11" t="s">
        <v>339</v>
      </c>
      <c r="D48" s="11" t="s">
        <v>2044</v>
      </c>
      <c r="E48" s="11" t="s">
        <v>2045</v>
      </c>
      <c r="F48" s="11" t="s">
        <v>2046</v>
      </c>
      <c r="G48" s="11" t="s">
        <v>2047</v>
      </c>
      <c r="H48" s="11" t="s">
        <v>2048</v>
      </c>
      <c r="I48" s="11"/>
    </row>
    <row r="49" customFormat="false" ht="15" hidden="false" customHeight="true" outlineLevel="0" collapsed="false">
      <c r="A49" s="11" t="s">
        <v>2049</v>
      </c>
      <c r="B49" s="11" t="s">
        <v>2050</v>
      </c>
      <c r="C49" s="11" t="s">
        <v>339</v>
      </c>
      <c r="D49" s="11" t="s">
        <v>2051</v>
      </c>
      <c r="E49" s="11" t="s">
        <v>2052</v>
      </c>
      <c r="F49" s="11" t="s">
        <v>2053</v>
      </c>
      <c r="G49" s="11" t="s">
        <v>2054</v>
      </c>
      <c r="H49" s="11" t="s">
        <v>2055</v>
      </c>
      <c r="I49" s="11"/>
    </row>
    <row r="50" customFormat="false" ht="15" hidden="false" customHeight="true" outlineLevel="0" collapsed="false">
      <c r="A50" s="11" t="s">
        <v>2056</v>
      </c>
      <c r="B50" s="11" t="s">
        <v>1909</v>
      </c>
      <c r="C50" s="11" t="s">
        <v>355</v>
      </c>
      <c r="D50" s="11" t="s">
        <v>1111</v>
      </c>
      <c r="E50" s="11" t="s">
        <v>1112</v>
      </c>
      <c r="F50" s="11" t="s">
        <v>1113</v>
      </c>
      <c r="G50" s="11" t="s">
        <v>1114</v>
      </c>
      <c r="H50" s="11" t="s">
        <v>1111</v>
      </c>
      <c r="I50" s="11"/>
    </row>
    <row r="51" customFormat="false" ht="15" hidden="false" customHeight="true" outlineLevel="0" collapsed="false">
      <c r="A51" s="11" t="s">
        <v>1834</v>
      </c>
      <c r="B51" s="11" t="s">
        <v>2057</v>
      </c>
      <c r="C51" s="11" t="s">
        <v>355</v>
      </c>
      <c r="D51" s="11" t="s">
        <v>1835</v>
      </c>
      <c r="E51" s="11" t="s">
        <v>1836</v>
      </c>
      <c r="F51" s="11" t="s">
        <v>1837</v>
      </c>
      <c r="G51" s="11" t="s">
        <v>1838</v>
      </c>
      <c r="H51" s="11" t="s">
        <v>2058</v>
      </c>
      <c r="I51" s="11"/>
    </row>
    <row r="52" customFormat="false" ht="15" hidden="false" customHeight="true" outlineLevel="0" collapsed="false">
      <c r="A52" s="11" t="s">
        <v>2059</v>
      </c>
      <c r="B52" s="11" t="s">
        <v>1022</v>
      </c>
      <c r="C52" s="11" t="s">
        <v>355</v>
      </c>
      <c r="D52" s="11" t="s">
        <v>1698</v>
      </c>
      <c r="E52" s="11" t="s">
        <v>1699</v>
      </c>
      <c r="F52" s="11"/>
      <c r="G52" s="11" t="s">
        <v>1700</v>
      </c>
      <c r="H52" s="11" t="s">
        <v>2060</v>
      </c>
      <c r="I52" s="11"/>
    </row>
    <row r="53" customFormat="false" ht="15" hidden="false" customHeight="true" outlineLevel="0" collapsed="false">
      <c r="A53" s="11" t="s">
        <v>1574</v>
      </c>
      <c r="B53" s="11" t="s">
        <v>1311</v>
      </c>
      <c r="C53" s="11" t="s">
        <v>355</v>
      </c>
      <c r="D53" s="11" t="s">
        <v>1575</v>
      </c>
      <c r="E53" s="11" t="s">
        <v>1576</v>
      </c>
      <c r="F53" s="11" t="s">
        <v>1577</v>
      </c>
      <c r="G53" s="11" t="s">
        <v>1578</v>
      </c>
      <c r="H53" s="11" t="s">
        <v>2061</v>
      </c>
      <c r="I53" s="11"/>
    </row>
    <row r="54" customFormat="false" ht="15" hidden="false" customHeight="true" outlineLevel="0" collapsed="false">
      <c r="A54" s="11" t="s">
        <v>1301</v>
      </c>
      <c r="B54" s="11" t="s">
        <v>2062</v>
      </c>
      <c r="C54" s="11" t="s">
        <v>355</v>
      </c>
      <c r="D54" s="11" t="s">
        <v>1302</v>
      </c>
      <c r="E54" s="11" t="s">
        <v>1303</v>
      </c>
      <c r="F54" s="11"/>
      <c r="G54" s="11" t="s">
        <v>1304</v>
      </c>
      <c r="H54" s="11" t="s">
        <v>2063</v>
      </c>
      <c r="I54" s="11"/>
      <c r="J54" s="1" t="s">
        <v>31</v>
      </c>
      <c r="K54" s="1" t="n">
        <f aca="false">'Behovsmodell (75p)'!$B$62</f>
        <v>85559</v>
      </c>
      <c r="L54" s="1" t="n">
        <f aca="false">('Behovsmodell (75p)'!$B$62)/12</f>
        <v>7129.91666666667</v>
      </c>
    </row>
    <row r="55" customFormat="false" ht="15" hidden="false" customHeight="true" outlineLevel="0" collapsed="false">
      <c r="A55" s="11" t="s">
        <v>969</v>
      </c>
      <c r="B55" s="11" t="s">
        <v>2064</v>
      </c>
      <c r="C55" s="11" t="s">
        <v>355</v>
      </c>
      <c r="D55" s="11" t="s">
        <v>972</v>
      </c>
      <c r="E55" s="11" t="s">
        <v>973</v>
      </c>
      <c r="F55" s="11"/>
      <c r="G55" s="11" t="s">
        <v>974</v>
      </c>
      <c r="H55" s="11" t="s">
        <v>2065</v>
      </c>
      <c r="I55" s="11"/>
      <c r="J55" s="1" t="s">
        <v>31</v>
      </c>
      <c r="K55" s="1" t="n">
        <f aca="false">'Behovsmodell (75p)'!$B$62</f>
        <v>85559</v>
      </c>
      <c r="L55" s="1" t="n">
        <f aca="false">('Behovsmodell (75p)'!$B$62)/12</f>
        <v>7129.91666666667</v>
      </c>
    </row>
    <row r="56" customFormat="false" ht="15" hidden="false" customHeight="true" outlineLevel="0" collapsed="false">
      <c r="A56" s="11" t="s">
        <v>2066</v>
      </c>
      <c r="B56" s="11" t="s">
        <v>528</v>
      </c>
      <c r="C56" s="11" t="s">
        <v>355</v>
      </c>
      <c r="D56" s="11" t="s">
        <v>1745</v>
      </c>
      <c r="E56" s="11" t="s">
        <v>1746</v>
      </c>
      <c r="F56" s="11" t="s">
        <v>1747</v>
      </c>
      <c r="G56" s="11" t="s">
        <v>1748</v>
      </c>
      <c r="H56" s="11" t="s">
        <v>2067</v>
      </c>
      <c r="I56" s="11"/>
    </row>
    <row r="57" customFormat="false" ht="15" hidden="false" customHeight="true" outlineLevel="0" collapsed="false">
      <c r="A57" s="11" t="s">
        <v>2068</v>
      </c>
      <c r="B57" s="11" t="s">
        <v>2069</v>
      </c>
      <c r="C57" s="11" t="s">
        <v>355</v>
      </c>
      <c r="D57" s="11" t="s">
        <v>2070</v>
      </c>
      <c r="E57" s="11" t="s">
        <v>2071</v>
      </c>
      <c r="F57" s="11"/>
      <c r="G57" s="11" t="s">
        <v>2072</v>
      </c>
      <c r="H57" s="11" t="s">
        <v>2073</v>
      </c>
      <c r="I57" s="11"/>
    </row>
    <row r="58" customFormat="false" ht="15" hidden="false" customHeight="true" outlineLevel="0" collapsed="false">
      <c r="A58" s="11" t="s">
        <v>499</v>
      </c>
      <c r="B58" s="11" t="s">
        <v>500</v>
      </c>
      <c r="C58" s="11" t="s">
        <v>355</v>
      </c>
      <c r="D58" s="11" t="s">
        <v>501</v>
      </c>
      <c r="E58" s="11" t="s">
        <v>502</v>
      </c>
      <c r="F58" s="11" t="s">
        <v>503</v>
      </c>
      <c r="G58" s="11" t="s">
        <v>504</v>
      </c>
      <c r="H58" s="11" t="s">
        <v>2074</v>
      </c>
      <c r="I58" s="11"/>
    </row>
    <row r="59" customFormat="false" ht="15" hidden="false" customHeight="true" outlineLevel="0" collapsed="false">
      <c r="A59" s="11" t="s">
        <v>2075</v>
      </c>
      <c r="B59" s="11" t="s">
        <v>1154</v>
      </c>
      <c r="C59" s="11" t="s">
        <v>355</v>
      </c>
      <c r="D59" s="11" t="s">
        <v>2076</v>
      </c>
      <c r="E59" s="11" t="s">
        <v>2077</v>
      </c>
      <c r="F59" s="11" t="s">
        <v>2078</v>
      </c>
      <c r="G59" s="11" t="s">
        <v>2079</v>
      </c>
      <c r="H59" s="11" t="s">
        <v>2074</v>
      </c>
      <c r="I59" s="11"/>
    </row>
    <row r="60" customFormat="false" ht="15" hidden="false" customHeight="true" outlineLevel="0" collapsed="false">
      <c r="A60" s="11" t="s">
        <v>632</v>
      </c>
      <c r="B60" s="11" t="s">
        <v>2080</v>
      </c>
      <c r="C60" s="11" t="s">
        <v>355</v>
      </c>
      <c r="D60" s="11" t="s">
        <v>635</v>
      </c>
      <c r="E60" s="11" t="s">
        <v>636</v>
      </c>
      <c r="F60" s="11" t="s">
        <v>637</v>
      </c>
      <c r="G60" s="11" t="s">
        <v>638</v>
      </c>
      <c r="H60" s="11" t="s">
        <v>2074</v>
      </c>
      <c r="I60" s="11"/>
      <c r="J60" s="1" t="s">
        <v>634</v>
      </c>
      <c r="K60" s="1" t="n">
        <f aca="false">'Behovsmodell (75p)'!$B$62+'Behovsmodell (75p)'!$B$76</f>
        <v>196658</v>
      </c>
      <c r="L60" s="1" t="n">
        <f aca="false">('Behovsmodell (75p)'!$B$62+'Behovsmodell (75p)'!$B$76)/12</f>
        <v>16388.1666666667</v>
      </c>
    </row>
    <row r="61" customFormat="false" ht="15" hidden="false" customHeight="true" outlineLevel="0" collapsed="false">
      <c r="A61" s="11" t="s">
        <v>2081</v>
      </c>
      <c r="B61" s="11" t="s">
        <v>2082</v>
      </c>
      <c r="C61" s="11" t="s">
        <v>355</v>
      </c>
      <c r="D61" s="11" t="s">
        <v>2083</v>
      </c>
      <c r="E61" s="11" t="s">
        <v>2084</v>
      </c>
      <c r="F61" s="11" t="s">
        <v>2085</v>
      </c>
      <c r="G61" s="11" t="s">
        <v>2086</v>
      </c>
      <c r="H61" s="11" t="s">
        <v>2074</v>
      </c>
      <c r="I61" s="11"/>
    </row>
    <row r="62" customFormat="false" ht="15" hidden="false" customHeight="true" outlineLevel="0" collapsed="false">
      <c r="A62" s="11" t="s">
        <v>2087</v>
      </c>
      <c r="B62" s="11" t="s">
        <v>2088</v>
      </c>
      <c r="C62" s="11" t="s">
        <v>355</v>
      </c>
      <c r="D62" s="11" t="s">
        <v>2089</v>
      </c>
      <c r="E62" s="11" t="s">
        <v>2090</v>
      </c>
      <c r="F62" s="11" t="s">
        <v>2091</v>
      </c>
      <c r="G62" s="11" t="s">
        <v>2092</v>
      </c>
      <c r="H62" s="11" t="s">
        <v>2074</v>
      </c>
      <c r="I62" s="11"/>
    </row>
    <row r="63" customFormat="false" ht="15" hidden="false" customHeight="true" outlineLevel="0" collapsed="false">
      <c r="A63" s="11" t="s">
        <v>2093</v>
      </c>
      <c r="B63" s="11" t="s">
        <v>2094</v>
      </c>
      <c r="C63" s="11" t="s">
        <v>355</v>
      </c>
      <c r="D63" s="11" t="s">
        <v>2095</v>
      </c>
      <c r="E63" s="11" t="s">
        <v>2096</v>
      </c>
      <c r="F63" s="11" t="s">
        <v>2097</v>
      </c>
      <c r="G63" s="11" t="s">
        <v>2098</v>
      </c>
      <c r="H63" s="11" t="s">
        <v>2074</v>
      </c>
      <c r="I63" s="11"/>
    </row>
    <row r="64" customFormat="false" ht="15" hidden="false" customHeight="true" outlineLevel="0" collapsed="false">
      <c r="A64" s="11" t="s">
        <v>2099</v>
      </c>
      <c r="B64" s="11" t="s">
        <v>2100</v>
      </c>
      <c r="C64" s="11" t="s">
        <v>355</v>
      </c>
      <c r="D64" s="11" t="s">
        <v>2101</v>
      </c>
      <c r="E64" s="11" t="s">
        <v>2102</v>
      </c>
      <c r="F64" s="11" t="s">
        <v>2103</v>
      </c>
      <c r="G64" s="11" t="s">
        <v>2104</v>
      </c>
      <c r="H64" s="11" t="s">
        <v>2074</v>
      </c>
      <c r="I64" s="11"/>
    </row>
    <row r="65" customFormat="false" ht="15" hidden="false" customHeight="true" outlineLevel="0" collapsed="false">
      <c r="A65" s="11" t="s">
        <v>2105</v>
      </c>
      <c r="B65" s="11" t="s">
        <v>711</v>
      </c>
      <c r="C65" s="11" t="s">
        <v>355</v>
      </c>
      <c r="D65" s="11" t="s">
        <v>707</v>
      </c>
      <c r="E65" s="11" t="s">
        <v>708</v>
      </c>
      <c r="F65" s="11" t="s">
        <v>709</v>
      </c>
      <c r="G65" s="11" t="s">
        <v>710</v>
      </c>
      <c r="H65" s="11" t="s">
        <v>2074</v>
      </c>
      <c r="I65" s="11"/>
      <c r="J65" s="1" t="s">
        <v>84</v>
      </c>
      <c r="K65" s="1" t="n">
        <f aca="false">'Behovsmodell (75p)'!$B$68</f>
        <v>330040.65</v>
      </c>
      <c r="L65" s="1" t="n">
        <f aca="false">('Behovsmodell (75p)'!$B$68)/12</f>
        <v>27503.3875</v>
      </c>
    </row>
    <row r="66" customFormat="false" ht="15" hidden="false" customHeight="true" outlineLevel="0" collapsed="false">
      <c r="A66" s="11" t="s">
        <v>2106</v>
      </c>
      <c r="B66" s="11" t="s">
        <v>744</v>
      </c>
      <c r="C66" s="11" t="s">
        <v>355</v>
      </c>
      <c r="D66" s="11" t="s">
        <v>745</v>
      </c>
      <c r="E66" s="11" t="s">
        <v>746</v>
      </c>
      <c r="F66" s="11" t="s">
        <v>747</v>
      </c>
      <c r="G66" s="11" t="s">
        <v>748</v>
      </c>
      <c r="H66" s="11" t="s">
        <v>2074</v>
      </c>
      <c r="I66" s="11"/>
    </row>
    <row r="67" customFormat="false" ht="15" hidden="false" customHeight="true" outlineLevel="0" collapsed="false">
      <c r="A67" s="11" t="s">
        <v>2107</v>
      </c>
      <c r="B67" s="11" t="s">
        <v>2108</v>
      </c>
      <c r="C67" s="11" t="s">
        <v>355</v>
      </c>
      <c r="D67" s="11" t="s">
        <v>2109</v>
      </c>
      <c r="E67" s="11" t="s">
        <v>2110</v>
      </c>
      <c r="F67" s="11" t="s">
        <v>2111</v>
      </c>
      <c r="G67" s="11" t="s">
        <v>2112</v>
      </c>
      <c r="H67" s="11" t="s">
        <v>2074</v>
      </c>
      <c r="I67" s="11"/>
    </row>
    <row r="68" customFormat="false" ht="15" hidden="false" customHeight="true" outlineLevel="0" collapsed="false">
      <c r="A68" s="11" t="s">
        <v>2113</v>
      </c>
      <c r="B68" s="11" t="s">
        <v>2114</v>
      </c>
      <c r="C68" s="11" t="s">
        <v>355</v>
      </c>
      <c r="D68" s="11" t="s">
        <v>2115</v>
      </c>
      <c r="E68" s="11" t="s">
        <v>2116</v>
      </c>
      <c r="F68" s="11" t="s">
        <v>2117</v>
      </c>
      <c r="G68" s="11" t="s">
        <v>2118</v>
      </c>
      <c r="H68" s="11" t="s">
        <v>2074</v>
      </c>
      <c r="I68" s="11"/>
    </row>
    <row r="69" customFormat="false" ht="15" hidden="false" customHeight="true" outlineLevel="0" collapsed="false">
      <c r="A69" s="11" t="s">
        <v>2119</v>
      </c>
      <c r="B69" s="11" t="s">
        <v>2120</v>
      </c>
      <c r="C69" s="11" t="s">
        <v>355</v>
      </c>
      <c r="D69" s="11" t="s">
        <v>2121</v>
      </c>
      <c r="E69" s="11" t="s">
        <v>2122</v>
      </c>
      <c r="F69" s="11" t="s">
        <v>2123</v>
      </c>
      <c r="G69" s="11" t="s">
        <v>2124</v>
      </c>
      <c r="H69" s="11" t="s">
        <v>2074</v>
      </c>
      <c r="I69" s="11"/>
    </row>
    <row r="70" customFormat="false" ht="15" hidden="false" customHeight="true" outlineLevel="0" collapsed="false">
      <c r="A70" s="11" t="s">
        <v>839</v>
      </c>
      <c r="B70" s="11" t="s">
        <v>2125</v>
      </c>
      <c r="C70" s="11" t="s">
        <v>355</v>
      </c>
      <c r="D70" s="11" t="s">
        <v>840</v>
      </c>
      <c r="E70" s="11" t="s">
        <v>841</v>
      </c>
      <c r="F70" s="11" t="s">
        <v>842</v>
      </c>
      <c r="G70" s="11" t="s">
        <v>843</v>
      </c>
      <c r="H70" s="11" t="s">
        <v>2074</v>
      </c>
      <c r="I70" s="11"/>
    </row>
    <row r="71" customFormat="false" ht="15" hidden="false" customHeight="true" outlineLevel="0" collapsed="false">
      <c r="A71" s="11" t="s">
        <v>2126</v>
      </c>
      <c r="B71" s="11" t="s">
        <v>1022</v>
      </c>
      <c r="C71" s="11" t="s">
        <v>355</v>
      </c>
      <c r="D71" s="11" t="s">
        <v>2127</v>
      </c>
      <c r="E71" s="11" t="s">
        <v>2128</v>
      </c>
      <c r="F71" s="11" t="s">
        <v>2129</v>
      </c>
      <c r="G71" s="11" t="s">
        <v>2130</v>
      </c>
      <c r="H71" s="11" t="s">
        <v>2074</v>
      </c>
      <c r="I71" s="11"/>
    </row>
    <row r="72" customFormat="false" ht="15" hidden="false" customHeight="true" outlineLevel="0" collapsed="false">
      <c r="A72" s="11" t="s">
        <v>2131</v>
      </c>
      <c r="B72" s="11" t="s">
        <v>2132</v>
      </c>
      <c r="C72" s="11" t="s">
        <v>355</v>
      </c>
      <c r="D72" s="11" t="s">
        <v>543</v>
      </c>
      <c r="E72" s="11" t="s">
        <v>544</v>
      </c>
      <c r="F72" s="11" t="s">
        <v>545</v>
      </c>
      <c r="G72" s="11" t="s">
        <v>546</v>
      </c>
      <c r="H72" s="11" t="s">
        <v>2074</v>
      </c>
      <c r="I72" s="11"/>
    </row>
    <row r="73" customFormat="false" ht="15" hidden="false" customHeight="true" outlineLevel="0" collapsed="false">
      <c r="A73" s="11" t="s">
        <v>2133</v>
      </c>
      <c r="B73" s="11" t="s">
        <v>550</v>
      </c>
      <c r="C73" s="11" t="s">
        <v>355</v>
      </c>
      <c r="D73" s="11" t="s">
        <v>2134</v>
      </c>
      <c r="E73" s="11" t="s">
        <v>2135</v>
      </c>
      <c r="F73" s="11" t="s">
        <v>2136</v>
      </c>
      <c r="G73" s="11" t="s">
        <v>2137</v>
      </c>
      <c r="H73" s="11" t="s">
        <v>2074</v>
      </c>
      <c r="I73" s="11"/>
    </row>
    <row r="74" customFormat="false" ht="15" hidden="false" customHeight="true" outlineLevel="0" collapsed="false">
      <c r="A74" s="11" t="s">
        <v>2138</v>
      </c>
      <c r="B74" s="11" t="s">
        <v>2139</v>
      </c>
      <c r="C74" s="11" t="s">
        <v>355</v>
      </c>
      <c r="D74" s="11" t="s">
        <v>2140</v>
      </c>
      <c r="E74" s="11" t="s">
        <v>2141</v>
      </c>
      <c r="F74" s="11" t="s">
        <v>2142</v>
      </c>
      <c r="G74" s="11" t="s">
        <v>2143</v>
      </c>
      <c r="H74" s="11" t="s">
        <v>2074</v>
      </c>
      <c r="I74" s="11"/>
    </row>
    <row r="75" customFormat="false" ht="15" hidden="false" customHeight="true" outlineLevel="0" collapsed="false">
      <c r="A75" s="11" t="s">
        <v>2144</v>
      </c>
      <c r="B75" s="11" t="s">
        <v>2145</v>
      </c>
      <c r="C75" s="11" t="s">
        <v>355</v>
      </c>
      <c r="D75" s="11" t="s">
        <v>2146</v>
      </c>
      <c r="E75" s="11" t="s">
        <v>2147</v>
      </c>
      <c r="F75" s="11" t="s">
        <v>2148</v>
      </c>
      <c r="G75" s="11" t="s">
        <v>2149</v>
      </c>
      <c r="H75" s="11" t="s">
        <v>2074</v>
      </c>
      <c r="I75" s="11"/>
    </row>
    <row r="76" customFormat="false" ht="15" hidden="false" customHeight="true" outlineLevel="0" collapsed="false">
      <c r="A76" s="11" t="s">
        <v>2150</v>
      </c>
      <c r="B76" s="11" t="s">
        <v>2151</v>
      </c>
      <c r="C76" s="11" t="s">
        <v>355</v>
      </c>
      <c r="D76" s="11" t="s">
        <v>2152</v>
      </c>
      <c r="E76" s="11" t="s">
        <v>2153</v>
      </c>
      <c r="F76" s="11" t="s">
        <v>2154</v>
      </c>
      <c r="G76" s="11" t="s">
        <v>2155</v>
      </c>
      <c r="H76" s="11" t="s">
        <v>2074</v>
      </c>
      <c r="I76" s="11"/>
    </row>
    <row r="77" customFormat="false" ht="15" hidden="false" customHeight="true" outlineLevel="0" collapsed="false">
      <c r="A77" s="11" t="s">
        <v>2156</v>
      </c>
      <c r="B77" s="11" t="s">
        <v>2157</v>
      </c>
      <c r="C77" s="11" t="s">
        <v>355</v>
      </c>
      <c r="D77" s="11" t="s">
        <v>2158</v>
      </c>
      <c r="E77" s="11" t="s">
        <v>2159</v>
      </c>
      <c r="F77" s="11" t="s">
        <v>2160</v>
      </c>
      <c r="G77" s="11" t="s">
        <v>2161</v>
      </c>
      <c r="H77" s="11" t="s">
        <v>2074</v>
      </c>
      <c r="I77" s="11"/>
    </row>
    <row r="78" customFormat="false" ht="15" hidden="false" customHeight="true" outlineLevel="0" collapsed="false">
      <c r="A78" s="11" t="s">
        <v>2162</v>
      </c>
      <c r="B78" s="11" t="s">
        <v>2163</v>
      </c>
      <c r="C78" s="11" t="s">
        <v>355</v>
      </c>
      <c r="D78" s="11" t="s">
        <v>2164</v>
      </c>
      <c r="E78" s="11" t="s">
        <v>2165</v>
      </c>
      <c r="F78" s="11" t="s">
        <v>2166</v>
      </c>
      <c r="G78" s="11" t="s">
        <v>2167</v>
      </c>
      <c r="H78" s="11" t="s">
        <v>2074</v>
      </c>
      <c r="I78" s="11"/>
    </row>
    <row r="79" customFormat="false" ht="15" hidden="false" customHeight="true" outlineLevel="0" collapsed="false">
      <c r="A79" s="11" t="s">
        <v>2168</v>
      </c>
      <c r="B79" s="11" t="s">
        <v>2169</v>
      </c>
      <c r="C79" s="11" t="s">
        <v>355</v>
      </c>
      <c r="D79" s="11" t="s">
        <v>2170</v>
      </c>
      <c r="E79" s="11" t="s">
        <v>2171</v>
      </c>
      <c r="F79" s="11" t="s">
        <v>2172</v>
      </c>
      <c r="G79" s="11" t="s">
        <v>2173</v>
      </c>
      <c r="H79" s="11" t="s">
        <v>2074</v>
      </c>
      <c r="I79" s="11"/>
    </row>
    <row r="80" customFormat="false" ht="15" hidden="false" customHeight="true" outlineLevel="0" collapsed="false">
      <c r="A80" s="11" t="s">
        <v>2174</v>
      </c>
      <c r="B80" s="11" t="s">
        <v>1128</v>
      </c>
      <c r="C80" s="11" t="s">
        <v>355</v>
      </c>
      <c r="D80" s="11" t="s">
        <v>2175</v>
      </c>
      <c r="E80" s="11" t="s">
        <v>2176</v>
      </c>
      <c r="F80" s="11" t="s">
        <v>2177</v>
      </c>
      <c r="G80" s="11" t="s">
        <v>2178</v>
      </c>
      <c r="H80" s="11" t="s">
        <v>2074</v>
      </c>
      <c r="I80" s="11"/>
    </row>
    <row r="81" customFormat="false" ht="15" hidden="false" customHeight="true" outlineLevel="0" collapsed="false">
      <c r="A81" s="11" t="s">
        <v>2179</v>
      </c>
      <c r="B81" s="11" t="s">
        <v>2180</v>
      </c>
      <c r="C81" s="11" t="s">
        <v>355</v>
      </c>
      <c r="D81" s="11" t="s">
        <v>2181</v>
      </c>
      <c r="E81" s="11" t="s">
        <v>2182</v>
      </c>
      <c r="F81" s="11" t="s">
        <v>2183</v>
      </c>
      <c r="G81" s="11" t="s">
        <v>2184</v>
      </c>
      <c r="H81" s="11" t="s">
        <v>2074</v>
      </c>
      <c r="I81" s="11"/>
    </row>
    <row r="82" customFormat="false" ht="15" hidden="false" customHeight="true" outlineLevel="0" collapsed="false">
      <c r="A82" s="11" t="s">
        <v>2185</v>
      </c>
      <c r="B82" s="11" t="s">
        <v>408</v>
      </c>
      <c r="C82" s="11" t="s">
        <v>355</v>
      </c>
      <c r="D82" s="11" t="s">
        <v>808</v>
      </c>
      <c r="E82" s="11" t="s">
        <v>809</v>
      </c>
      <c r="F82" s="11" t="s">
        <v>810</v>
      </c>
      <c r="G82" s="11" t="s">
        <v>811</v>
      </c>
      <c r="H82" s="11" t="s">
        <v>2074</v>
      </c>
      <c r="I82" s="11"/>
      <c r="J82" s="1" t="s">
        <v>31</v>
      </c>
      <c r="K82" s="1" t="n">
        <f aca="false">'Behovsmodell (75p)'!$B$62</f>
        <v>85559</v>
      </c>
      <c r="L82" s="1" t="n">
        <f aca="false">('Behovsmodell (75p)'!$B$62)/12</f>
        <v>7129.91666666667</v>
      </c>
    </row>
    <row r="83" customFormat="false" ht="15" hidden="false" customHeight="true" outlineLevel="0" collapsed="false">
      <c r="A83" s="11" t="s">
        <v>2186</v>
      </c>
      <c r="B83" s="11" t="s">
        <v>671</v>
      </c>
      <c r="C83" s="11" t="s">
        <v>355</v>
      </c>
      <c r="D83" s="11"/>
      <c r="E83" s="11" t="s">
        <v>2187</v>
      </c>
      <c r="F83" s="11" t="s">
        <v>2188</v>
      </c>
      <c r="G83" s="11" t="s">
        <v>2189</v>
      </c>
      <c r="H83" s="11" t="s">
        <v>2074</v>
      </c>
      <c r="I83" s="11"/>
    </row>
    <row r="84" customFormat="false" ht="15" hidden="false" customHeight="true" outlineLevel="0" collapsed="false">
      <c r="A84" s="11" t="s">
        <v>2190</v>
      </c>
      <c r="B84" s="11" t="s">
        <v>2191</v>
      </c>
      <c r="C84" s="11" t="s">
        <v>355</v>
      </c>
      <c r="D84" s="11" t="s">
        <v>2192</v>
      </c>
      <c r="E84" s="11" t="s">
        <v>2193</v>
      </c>
      <c r="F84" s="11" t="s">
        <v>2194</v>
      </c>
      <c r="G84" s="11" t="s">
        <v>2195</v>
      </c>
      <c r="H84" s="11" t="s">
        <v>2074</v>
      </c>
      <c r="I84" s="11"/>
    </row>
    <row r="85" customFormat="false" ht="15" hidden="false" customHeight="true" outlineLevel="0" collapsed="false">
      <c r="A85" s="11" t="s">
        <v>2196</v>
      </c>
      <c r="B85" s="11" t="s">
        <v>1022</v>
      </c>
      <c r="C85" s="11" t="s">
        <v>355</v>
      </c>
      <c r="D85" s="11" t="s">
        <v>2197</v>
      </c>
      <c r="E85" s="11" t="s">
        <v>2198</v>
      </c>
      <c r="F85" s="11" t="s">
        <v>2199</v>
      </c>
      <c r="G85" s="11" t="s">
        <v>2200</v>
      </c>
      <c r="H85" s="11" t="s">
        <v>2074</v>
      </c>
      <c r="I85" s="11"/>
    </row>
    <row r="86" customFormat="false" ht="15" hidden="false" customHeight="true" outlineLevel="0" collapsed="false">
      <c r="A86" s="11" t="s">
        <v>2201</v>
      </c>
      <c r="B86" s="11" t="s">
        <v>2202</v>
      </c>
      <c r="C86" s="11" t="s">
        <v>355</v>
      </c>
      <c r="D86" s="11" t="s">
        <v>2203</v>
      </c>
      <c r="E86" s="11" t="s">
        <v>2204</v>
      </c>
      <c r="F86" s="11" t="s">
        <v>2205</v>
      </c>
      <c r="G86" s="11" t="s">
        <v>2206</v>
      </c>
      <c r="H86" s="11" t="s">
        <v>2074</v>
      </c>
      <c r="I86" s="11"/>
    </row>
    <row r="87" customFormat="false" ht="15" hidden="false" customHeight="true" outlineLevel="0" collapsed="false">
      <c r="A87" s="11" t="s">
        <v>1547</v>
      </c>
      <c r="B87" s="11" t="s">
        <v>2207</v>
      </c>
      <c r="C87" s="11" t="s">
        <v>355</v>
      </c>
      <c r="D87" s="11" t="s">
        <v>1548</v>
      </c>
      <c r="E87" s="11" t="s">
        <v>1549</v>
      </c>
      <c r="F87" s="11" t="s">
        <v>1550</v>
      </c>
      <c r="G87" s="11" t="s">
        <v>1551</v>
      </c>
      <c r="H87" s="11" t="s">
        <v>2074</v>
      </c>
      <c r="I87" s="11"/>
    </row>
    <row r="88" customFormat="false" ht="15" hidden="false" customHeight="true" outlineLevel="0" collapsed="false">
      <c r="A88" s="11" t="s">
        <v>853</v>
      </c>
      <c r="B88" s="11" t="s">
        <v>2208</v>
      </c>
      <c r="C88" s="11" t="s">
        <v>355</v>
      </c>
      <c r="D88" s="11" t="s">
        <v>854</v>
      </c>
      <c r="E88" s="11" t="s">
        <v>855</v>
      </c>
      <c r="F88" s="11" t="s">
        <v>856</v>
      </c>
      <c r="G88" s="11" t="s">
        <v>857</v>
      </c>
      <c r="H88" s="11" t="s">
        <v>2074</v>
      </c>
      <c r="I88" s="11"/>
    </row>
    <row r="89" customFormat="false" ht="15" hidden="false" customHeight="true" outlineLevel="0" collapsed="false">
      <c r="A89" s="11" t="s">
        <v>2209</v>
      </c>
      <c r="B89" s="11" t="s">
        <v>671</v>
      </c>
      <c r="C89" s="11" t="s">
        <v>355</v>
      </c>
      <c r="D89" s="11" t="s">
        <v>2210</v>
      </c>
      <c r="E89" s="11" t="s">
        <v>2211</v>
      </c>
      <c r="F89" s="11"/>
      <c r="G89" s="11" t="s">
        <v>2212</v>
      </c>
      <c r="H89" s="11" t="s">
        <v>2074</v>
      </c>
      <c r="I89" s="11"/>
    </row>
    <row r="90" customFormat="false" ht="15" hidden="false" customHeight="true" outlineLevel="0" collapsed="false">
      <c r="A90" s="11" t="s">
        <v>2213</v>
      </c>
      <c r="B90" s="11" t="s">
        <v>2214</v>
      </c>
      <c r="C90" s="11" t="s">
        <v>361</v>
      </c>
      <c r="D90" s="11" t="s">
        <v>2215</v>
      </c>
      <c r="E90" s="11" t="s">
        <v>2216</v>
      </c>
      <c r="F90" s="11" t="s">
        <v>2217</v>
      </c>
      <c r="G90" s="11" t="s">
        <v>2218</v>
      </c>
      <c r="H90" s="11" t="s">
        <v>2219</v>
      </c>
      <c r="I90" s="11"/>
    </row>
    <row r="91" customFormat="false" ht="15" hidden="false" customHeight="true" outlineLevel="0" collapsed="false">
      <c r="A91" s="11" t="s">
        <v>2220</v>
      </c>
      <c r="B91" s="11" t="s">
        <v>2221</v>
      </c>
      <c r="C91" s="11" t="s">
        <v>361</v>
      </c>
      <c r="D91" s="11" t="s">
        <v>208</v>
      </c>
      <c r="E91" s="11" t="s">
        <v>2222</v>
      </c>
      <c r="F91" s="11" t="s">
        <v>2223</v>
      </c>
      <c r="G91" s="11" t="s">
        <v>2224</v>
      </c>
      <c r="H91" s="11" t="s">
        <v>2225</v>
      </c>
      <c r="I91" s="11"/>
    </row>
    <row r="92" customFormat="false" ht="15" hidden="false" customHeight="true" outlineLevel="0" collapsed="false">
      <c r="A92" s="11" t="s">
        <v>830</v>
      </c>
      <c r="B92" s="11" t="s">
        <v>2226</v>
      </c>
      <c r="C92" s="11" t="s">
        <v>361</v>
      </c>
      <c r="D92" s="11" t="s">
        <v>832</v>
      </c>
      <c r="E92" s="11" t="s">
        <v>833</v>
      </c>
      <c r="F92" s="11"/>
      <c r="G92" s="11" t="s">
        <v>834</v>
      </c>
      <c r="H92" s="11" t="s">
        <v>2225</v>
      </c>
      <c r="I92" s="11"/>
      <c r="J92" s="1" t="s">
        <v>31</v>
      </c>
      <c r="K92" s="1" t="n">
        <f aca="false">'Behovsmodell (75p)'!$B$62</f>
        <v>85559</v>
      </c>
      <c r="L92" s="1" t="n">
        <f aca="false">('Behovsmodell (75p)'!$B$62)/12</f>
        <v>7129.91666666667</v>
      </c>
    </row>
    <row r="93" customFormat="false" ht="15" hidden="false" customHeight="true" outlineLevel="0" collapsed="false">
      <c r="A93" s="11" t="s">
        <v>2227</v>
      </c>
      <c r="B93" s="11" t="s">
        <v>2228</v>
      </c>
      <c r="C93" s="11" t="s">
        <v>361</v>
      </c>
      <c r="D93" s="11" t="s">
        <v>2229</v>
      </c>
      <c r="E93" s="11"/>
      <c r="F93" s="11"/>
      <c r="G93" s="11" t="s">
        <v>2230</v>
      </c>
      <c r="H93" s="11" t="s">
        <v>2231</v>
      </c>
      <c r="I93" s="11" t="s">
        <v>2232</v>
      </c>
    </row>
    <row r="94" customFormat="false" ht="15" hidden="false" customHeight="true" outlineLevel="0" collapsed="false">
      <c r="A94" s="11" t="s">
        <v>367</v>
      </c>
      <c r="B94" s="11" t="s">
        <v>1652</v>
      </c>
      <c r="C94" s="11" t="s">
        <v>361</v>
      </c>
      <c r="D94" s="11" t="s">
        <v>369</v>
      </c>
      <c r="E94" s="11"/>
      <c r="F94" s="11"/>
      <c r="G94" s="11"/>
      <c r="H94" s="11" t="s">
        <v>2233</v>
      </c>
      <c r="I94" s="11"/>
    </row>
    <row r="95" customFormat="false" ht="15" hidden="false" customHeight="true" outlineLevel="0" collapsed="false">
      <c r="A95" s="11" t="s">
        <v>1594</v>
      </c>
      <c r="B95" s="11" t="s">
        <v>2234</v>
      </c>
      <c r="C95" s="11" t="s">
        <v>361</v>
      </c>
      <c r="D95" s="11" t="s">
        <v>1595</v>
      </c>
      <c r="E95" s="11"/>
      <c r="F95" s="11"/>
      <c r="G95" s="11" t="s">
        <v>1596</v>
      </c>
      <c r="H95" s="11" t="s">
        <v>2233</v>
      </c>
      <c r="I95" s="11"/>
    </row>
    <row r="96" customFormat="false" ht="15" hidden="false" customHeight="true" outlineLevel="0" collapsed="false">
      <c r="A96" s="11" t="s">
        <v>2235</v>
      </c>
      <c r="B96" s="11" t="s">
        <v>2236</v>
      </c>
      <c r="C96" s="11" t="s">
        <v>361</v>
      </c>
      <c r="D96" s="11" t="s">
        <v>1621</v>
      </c>
      <c r="E96" s="11"/>
      <c r="F96" s="11"/>
      <c r="G96" s="11"/>
      <c r="H96" s="11" t="s">
        <v>2233</v>
      </c>
      <c r="I96" s="11"/>
    </row>
    <row r="97" customFormat="false" ht="15" hidden="false" customHeight="true" outlineLevel="0" collapsed="false">
      <c r="A97" s="11" t="s">
        <v>2237</v>
      </c>
      <c r="B97" s="11" t="s">
        <v>2238</v>
      </c>
      <c r="C97" s="11" t="s">
        <v>361</v>
      </c>
      <c r="D97" s="11" t="s">
        <v>2239</v>
      </c>
      <c r="E97" s="11"/>
      <c r="F97" s="11"/>
      <c r="G97" s="11" t="s">
        <v>2238</v>
      </c>
      <c r="H97" s="11" t="s">
        <v>2233</v>
      </c>
      <c r="I97" s="11"/>
    </row>
    <row r="98" customFormat="false" ht="15" hidden="false" customHeight="true" outlineLevel="0" collapsed="false">
      <c r="A98" s="11" t="s">
        <v>1650</v>
      </c>
      <c r="B98" s="11" t="s">
        <v>2240</v>
      </c>
      <c r="C98" s="11" t="s">
        <v>361</v>
      </c>
      <c r="D98" s="11" t="s">
        <v>1651</v>
      </c>
      <c r="E98" s="11"/>
      <c r="F98" s="11"/>
      <c r="G98" s="11" t="s">
        <v>1652</v>
      </c>
      <c r="H98" s="11" t="s">
        <v>2233</v>
      </c>
      <c r="I98" s="11"/>
    </row>
    <row r="99" customFormat="false" ht="15" hidden="false" customHeight="true" outlineLevel="0" collapsed="false">
      <c r="A99" s="11" t="s">
        <v>2241</v>
      </c>
      <c r="B99" s="11" t="s">
        <v>2242</v>
      </c>
      <c r="C99" s="11" t="s">
        <v>361</v>
      </c>
      <c r="D99" s="11" t="s">
        <v>2243</v>
      </c>
      <c r="E99" s="11"/>
      <c r="F99" s="11"/>
      <c r="G99" s="11" t="s">
        <v>2244</v>
      </c>
      <c r="H99" s="11" t="s">
        <v>2233</v>
      </c>
      <c r="I99" s="11"/>
    </row>
    <row r="100" customFormat="false" ht="15" hidden="false" customHeight="true" outlineLevel="0" collapsed="false">
      <c r="A100" s="11" t="s">
        <v>2245</v>
      </c>
      <c r="B100" s="11" t="s">
        <v>585</v>
      </c>
      <c r="C100" s="11" t="s">
        <v>361</v>
      </c>
      <c r="D100" s="11" t="s">
        <v>2246</v>
      </c>
      <c r="E100" s="11"/>
      <c r="F100" s="11"/>
      <c r="G100" s="11" t="s">
        <v>585</v>
      </c>
      <c r="H100" s="11" t="s">
        <v>2233</v>
      </c>
      <c r="I100" s="11"/>
    </row>
    <row r="101" customFormat="false" ht="15" hidden="false" customHeight="true" outlineLevel="0" collapsed="false">
      <c r="A101" s="11" t="s">
        <v>583</v>
      </c>
      <c r="B101" s="11" t="s">
        <v>585</v>
      </c>
      <c r="C101" s="11" t="s">
        <v>361</v>
      </c>
      <c r="D101" s="11" t="s">
        <v>584</v>
      </c>
      <c r="E101" s="11"/>
      <c r="F101" s="11"/>
      <c r="G101" s="11" t="s">
        <v>585</v>
      </c>
      <c r="H101" s="11" t="s">
        <v>2233</v>
      </c>
      <c r="I101" s="11"/>
      <c r="J101" s="1" t="s">
        <v>84</v>
      </c>
      <c r="K101" s="1" t="n">
        <f aca="false">'Behovsmodell (75p)'!$B$68</f>
        <v>330040.65</v>
      </c>
      <c r="L101" s="1" t="n">
        <f aca="false">('Behovsmodell (75p)'!$B$68)/12</f>
        <v>27503.3875</v>
      </c>
    </row>
    <row r="102" customFormat="false" ht="15" hidden="false" customHeight="true" outlineLevel="0" collapsed="false">
      <c r="A102" s="11" t="s">
        <v>2247</v>
      </c>
      <c r="B102" s="11" t="s">
        <v>2248</v>
      </c>
      <c r="C102" s="11" t="s">
        <v>361</v>
      </c>
      <c r="D102" s="11" t="s">
        <v>2249</v>
      </c>
      <c r="E102" s="11"/>
      <c r="F102" s="11"/>
      <c r="G102" s="11" t="s">
        <v>2250</v>
      </c>
      <c r="H102" s="11" t="s">
        <v>2233</v>
      </c>
      <c r="I102" s="11"/>
    </row>
    <row r="103" customFormat="false" ht="15" hidden="false" customHeight="true" outlineLevel="0" collapsed="false">
      <c r="A103" s="11" t="s">
        <v>1710</v>
      </c>
      <c r="B103" s="11" t="s">
        <v>2251</v>
      </c>
      <c r="C103" s="11" t="s">
        <v>361</v>
      </c>
      <c r="D103" s="11" t="s">
        <v>1711</v>
      </c>
      <c r="E103" s="11"/>
      <c r="F103" s="11"/>
      <c r="G103" s="11" t="s">
        <v>1712</v>
      </c>
      <c r="H103" s="11" t="s">
        <v>2252</v>
      </c>
      <c r="I103" s="11"/>
    </row>
    <row r="104" customFormat="false" ht="15" hidden="false" customHeight="true" outlineLevel="0" collapsed="false">
      <c r="A104" s="11" t="s">
        <v>2253</v>
      </c>
      <c r="B104" s="11" t="s">
        <v>2254</v>
      </c>
      <c r="C104" s="11" t="s">
        <v>361</v>
      </c>
      <c r="D104" s="11" t="s">
        <v>2255</v>
      </c>
      <c r="E104" s="11"/>
      <c r="F104" s="11"/>
      <c r="G104" s="11" t="s">
        <v>2254</v>
      </c>
      <c r="H104" s="11" t="s">
        <v>2233</v>
      </c>
      <c r="I104" s="11"/>
    </row>
    <row r="105" customFormat="false" ht="15" hidden="false" customHeight="true" outlineLevel="0" collapsed="false">
      <c r="A105" s="11" t="s">
        <v>2256</v>
      </c>
      <c r="B105" s="11" t="s">
        <v>2257</v>
      </c>
      <c r="C105" s="11" t="s">
        <v>361</v>
      </c>
      <c r="D105" s="11" t="s">
        <v>2258</v>
      </c>
      <c r="E105" s="11"/>
      <c r="F105" s="11"/>
      <c r="G105" s="11" t="s">
        <v>2257</v>
      </c>
      <c r="H105" s="11" t="s">
        <v>2233</v>
      </c>
      <c r="I105" s="11"/>
    </row>
    <row r="106" customFormat="false" ht="15" hidden="false" customHeight="true" outlineLevel="0" collapsed="false">
      <c r="A106" s="11" t="s">
        <v>2259</v>
      </c>
      <c r="B106" s="11" t="s">
        <v>2260</v>
      </c>
      <c r="C106" s="11" t="s">
        <v>361</v>
      </c>
      <c r="D106" s="11" t="s">
        <v>2261</v>
      </c>
      <c r="E106" s="11"/>
      <c r="F106" s="11"/>
      <c r="G106" s="11" t="s">
        <v>2262</v>
      </c>
      <c r="H106" s="11" t="s">
        <v>2233</v>
      </c>
      <c r="I106" s="11"/>
    </row>
    <row r="107" customFormat="false" ht="15" hidden="false" customHeight="true" outlineLevel="0" collapsed="false">
      <c r="A107" s="11" t="s">
        <v>2263</v>
      </c>
      <c r="B107" s="11" t="s">
        <v>360</v>
      </c>
      <c r="C107" s="11" t="s">
        <v>361</v>
      </c>
      <c r="D107" s="11" t="s">
        <v>2264</v>
      </c>
      <c r="E107" s="11"/>
      <c r="F107" s="11"/>
      <c r="G107" s="11" t="s">
        <v>364</v>
      </c>
      <c r="H107" s="11" t="s">
        <v>2233</v>
      </c>
      <c r="I107" s="11"/>
    </row>
    <row r="108" customFormat="false" ht="15" hidden="false" customHeight="true" outlineLevel="0" collapsed="false">
      <c r="A108" s="11" t="s">
        <v>359</v>
      </c>
      <c r="B108" s="11" t="s">
        <v>360</v>
      </c>
      <c r="C108" s="11" t="s">
        <v>361</v>
      </c>
      <c r="D108" s="11" t="s">
        <v>363</v>
      </c>
      <c r="E108" s="11"/>
      <c r="F108" s="11"/>
      <c r="G108" s="11" t="s">
        <v>364</v>
      </c>
      <c r="H108" s="11" t="s">
        <v>2233</v>
      </c>
      <c r="I108" s="11"/>
      <c r="J108" s="1" t="s">
        <v>31</v>
      </c>
      <c r="K108" s="1" t="n">
        <f aca="false">'Behovsmodell (75p)'!$B$62</f>
        <v>85559</v>
      </c>
      <c r="L108" s="1" t="n">
        <f aca="false">('Behovsmodell (75p)'!$B$62)/12</f>
        <v>7129.91666666667</v>
      </c>
    </row>
    <row r="109" customFormat="false" ht="15" hidden="false" customHeight="true" outlineLevel="0" collapsed="false">
      <c r="A109" s="11" t="s">
        <v>2265</v>
      </c>
      <c r="B109" s="11" t="s">
        <v>437</v>
      </c>
      <c r="C109" s="11" t="s">
        <v>361</v>
      </c>
      <c r="D109" s="11"/>
      <c r="E109" s="11"/>
      <c r="F109" s="11"/>
      <c r="G109" s="11" t="s">
        <v>2266</v>
      </c>
      <c r="H109" s="11" t="s">
        <v>2267</v>
      </c>
      <c r="I109" s="11"/>
    </row>
    <row r="110" customFormat="false" ht="15" hidden="false" customHeight="true" outlineLevel="0" collapsed="false">
      <c r="A110" s="11" t="s">
        <v>2268</v>
      </c>
      <c r="B110" s="11" t="s">
        <v>2269</v>
      </c>
      <c r="C110" s="11" t="s">
        <v>361</v>
      </c>
      <c r="D110" s="11" t="s">
        <v>2270</v>
      </c>
      <c r="E110" s="11"/>
      <c r="F110" s="11"/>
      <c r="G110" s="11" t="s">
        <v>2269</v>
      </c>
      <c r="H110" s="11" t="s">
        <v>2233</v>
      </c>
      <c r="I110" s="11"/>
    </row>
    <row r="111" customFormat="false" ht="15" hidden="false" customHeight="true" outlineLevel="0" collapsed="false">
      <c r="A111" s="11" t="s">
        <v>2271</v>
      </c>
      <c r="B111" s="11"/>
      <c r="C111" s="11" t="s">
        <v>361</v>
      </c>
      <c r="D111" s="11" t="s">
        <v>2272</v>
      </c>
      <c r="E111" s="11"/>
      <c r="F111" s="11"/>
      <c r="G111" s="11"/>
      <c r="H111" s="11" t="s">
        <v>2233</v>
      </c>
      <c r="I111" s="11"/>
    </row>
    <row r="112" customFormat="false" ht="15" hidden="false" customHeight="true" outlineLevel="0" collapsed="false">
      <c r="A112" s="11" t="s">
        <v>2273</v>
      </c>
      <c r="B112" s="11" t="s">
        <v>2274</v>
      </c>
      <c r="C112" s="11" t="s">
        <v>361</v>
      </c>
      <c r="D112" s="11" t="s">
        <v>2275</v>
      </c>
      <c r="E112" s="11"/>
      <c r="F112" s="11"/>
      <c r="G112" s="11" t="s">
        <v>2274</v>
      </c>
      <c r="H112" s="11" t="s">
        <v>2233</v>
      </c>
      <c r="I112" s="11"/>
    </row>
    <row r="113" customFormat="false" ht="15" hidden="false" customHeight="true" outlineLevel="0" collapsed="false">
      <c r="A113" s="11" t="s">
        <v>2276</v>
      </c>
      <c r="B113" s="11" t="s">
        <v>2277</v>
      </c>
      <c r="C113" s="11" t="s">
        <v>346</v>
      </c>
      <c r="D113" s="11" t="s">
        <v>2278</v>
      </c>
      <c r="E113" s="11" t="s">
        <v>2279</v>
      </c>
      <c r="F113" s="11" t="s">
        <v>2280</v>
      </c>
      <c r="G113" s="11" t="s">
        <v>2281</v>
      </c>
      <c r="H113" s="11" t="s">
        <v>2282</v>
      </c>
      <c r="I113" s="11"/>
    </row>
    <row r="114" customFormat="false" ht="15" hidden="false" customHeight="true" outlineLevel="0" collapsed="false">
      <c r="A114" s="11" t="s">
        <v>2283</v>
      </c>
      <c r="B114" s="11" t="s">
        <v>345</v>
      </c>
      <c r="C114" s="11" t="s">
        <v>346</v>
      </c>
      <c r="D114" s="11" t="s">
        <v>2284</v>
      </c>
      <c r="E114" s="11" t="s">
        <v>2285</v>
      </c>
      <c r="F114" s="11" t="s">
        <v>2286</v>
      </c>
      <c r="G114" s="11" t="s">
        <v>1798</v>
      </c>
      <c r="H114" s="11" t="s">
        <v>2225</v>
      </c>
      <c r="I114" s="11"/>
    </row>
    <row r="115" customFormat="false" ht="15" hidden="false" customHeight="true" outlineLevel="0" collapsed="false">
      <c r="A115" s="11" t="s">
        <v>2287</v>
      </c>
      <c r="B115" s="11" t="s">
        <v>2288</v>
      </c>
      <c r="C115" s="11" t="s">
        <v>346</v>
      </c>
      <c r="D115" s="11" t="s">
        <v>2289</v>
      </c>
      <c r="E115" s="11" t="s">
        <v>2290</v>
      </c>
      <c r="F115" s="11" t="s">
        <v>2291</v>
      </c>
      <c r="G115" s="11" t="s">
        <v>2292</v>
      </c>
      <c r="H115" s="11" t="s">
        <v>2293</v>
      </c>
      <c r="I115" s="11"/>
    </row>
    <row r="116" customFormat="false" ht="15" hidden="false" customHeight="true" outlineLevel="0" collapsed="false">
      <c r="A116" s="11" t="s">
        <v>1537</v>
      </c>
      <c r="B116" s="11" t="s">
        <v>1541</v>
      </c>
      <c r="C116" s="11" t="s">
        <v>346</v>
      </c>
      <c r="D116" s="11" t="s">
        <v>1538</v>
      </c>
      <c r="E116" s="11" t="s">
        <v>1539</v>
      </c>
      <c r="F116" s="11" t="s">
        <v>1540</v>
      </c>
      <c r="G116" s="11" t="s">
        <v>1541</v>
      </c>
      <c r="H116" s="11" t="s">
        <v>2294</v>
      </c>
      <c r="I116" s="11"/>
      <c r="J116" s="1" t="s">
        <v>84</v>
      </c>
      <c r="K116" s="1" t="n">
        <f aca="false">'Behovsmodell (75p)'!$B$68</f>
        <v>330040.65</v>
      </c>
      <c r="L116" s="1" t="n">
        <f aca="false">('Behovsmodell (75p)'!$B$68)/12</f>
        <v>27503.3875</v>
      </c>
    </row>
    <row r="117" customFormat="false" ht="15" hidden="false" customHeight="true" outlineLevel="0" collapsed="false">
      <c r="A117" s="11" t="s">
        <v>2295</v>
      </c>
      <c r="B117" s="11" t="s">
        <v>2296</v>
      </c>
      <c r="C117" s="11" t="s">
        <v>346</v>
      </c>
      <c r="D117" s="11" t="s">
        <v>2297</v>
      </c>
      <c r="E117" s="11" t="s">
        <v>2298</v>
      </c>
      <c r="F117" s="11" t="s">
        <v>2299</v>
      </c>
      <c r="G117" s="11" t="s">
        <v>2300</v>
      </c>
      <c r="H117" s="11" t="s">
        <v>2301</v>
      </c>
      <c r="I117" s="11"/>
    </row>
    <row r="118" customFormat="false" ht="15" hidden="false" customHeight="true" outlineLevel="0" collapsed="false">
      <c r="A118" s="11" t="s">
        <v>903</v>
      </c>
      <c r="B118" s="11" t="s">
        <v>905</v>
      </c>
      <c r="C118" s="11" t="s">
        <v>346</v>
      </c>
      <c r="D118" s="11" t="s">
        <v>904</v>
      </c>
      <c r="E118" s="11"/>
      <c r="F118" s="11"/>
      <c r="G118" s="11" t="s">
        <v>905</v>
      </c>
      <c r="H118" s="11" t="s">
        <v>2302</v>
      </c>
      <c r="I118" s="11"/>
    </row>
    <row r="119" customFormat="false" ht="15" hidden="false" customHeight="true" outlineLevel="0" collapsed="false">
      <c r="A119" s="11" t="s">
        <v>1719</v>
      </c>
      <c r="B119" s="11" t="s">
        <v>1723</v>
      </c>
      <c r="C119" s="11" t="s">
        <v>346</v>
      </c>
      <c r="D119" s="11" t="s">
        <v>1720</v>
      </c>
      <c r="E119" s="11" t="s">
        <v>1721</v>
      </c>
      <c r="F119" s="11" t="s">
        <v>1722</v>
      </c>
      <c r="G119" s="11" t="s">
        <v>1723</v>
      </c>
      <c r="H119" s="11" t="s">
        <v>2225</v>
      </c>
      <c r="I119" s="11"/>
    </row>
    <row r="120" customFormat="false" ht="15" hidden="false" customHeight="true" outlineLevel="0" collapsed="false">
      <c r="A120" s="11" t="s">
        <v>2303</v>
      </c>
      <c r="B120" s="11" t="s">
        <v>2304</v>
      </c>
      <c r="C120" s="11" t="s">
        <v>346</v>
      </c>
      <c r="D120" s="11" t="s">
        <v>703</v>
      </c>
      <c r="E120" s="11"/>
      <c r="F120" s="11"/>
      <c r="G120" s="11" t="s">
        <v>704</v>
      </c>
      <c r="H120" s="11" t="s">
        <v>2302</v>
      </c>
      <c r="I120" s="11"/>
    </row>
    <row r="121" customFormat="false" ht="15" hidden="false" customHeight="true" outlineLevel="0" collapsed="false">
      <c r="A121" s="11" t="s">
        <v>2305</v>
      </c>
      <c r="B121" s="11" t="s">
        <v>2306</v>
      </c>
      <c r="C121" s="11" t="s">
        <v>346</v>
      </c>
      <c r="D121" s="11" t="s">
        <v>2307</v>
      </c>
      <c r="E121" s="11"/>
      <c r="F121" s="11"/>
      <c r="G121" s="11" t="s">
        <v>2308</v>
      </c>
      <c r="H121" s="11" t="s">
        <v>2302</v>
      </c>
      <c r="I121" s="11"/>
    </row>
    <row r="122" customFormat="false" ht="15" hidden="false" customHeight="true" outlineLevel="0" collapsed="false">
      <c r="A122" s="11" t="s">
        <v>2309</v>
      </c>
      <c r="B122" s="11" t="s">
        <v>2310</v>
      </c>
      <c r="C122" s="11" t="s">
        <v>346</v>
      </c>
      <c r="D122" s="11" t="s">
        <v>2311</v>
      </c>
      <c r="E122" s="11"/>
      <c r="F122" s="11"/>
      <c r="G122" s="11" t="s">
        <v>2312</v>
      </c>
      <c r="H122" s="11" t="s">
        <v>2302</v>
      </c>
      <c r="I122" s="11"/>
    </row>
    <row r="123" customFormat="false" ht="15" hidden="false" customHeight="true" outlineLevel="0" collapsed="false">
      <c r="A123" s="11" t="s">
        <v>2313</v>
      </c>
      <c r="B123" s="11" t="s">
        <v>2314</v>
      </c>
      <c r="C123" s="11" t="s">
        <v>346</v>
      </c>
      <c r="D123" s="11"/>
      <c r="E123" s="11"/>
      <c r="F123" s="11"/>
      <c r="G123" s="11" t="s">
        <v>1757</v>
      </c>
      <c r="H123" s="11" t="s">
        <v>2315</v>
      </c>
      <c r="I123" s="11"/>
    </row>
    <row r="124" customFormat="false" ht="15" hidden="false" customHeight="true" outlineLevel="0" collapsed="false">
      <c r="A124" s="11" t="s">
        <v>2316</v>
      </c>
      <c r="B124" s="11" t="s">
        <v>446</v>
      </c>
      <c r="C124" s="11" t="s">
        <v>346</v>
      </c>
      <c r="D124" s="11" t="s">
        <v>1096</v>
      </c>
      <c r="E124" s="11"/>
      <c r="F124" s="11"/>
      <c r="G124" s="11" t="s">
        <v>1097</v>
      </c>
      <c r="H124" s="11" t="s">
        <v>2302</v>
      </c>
      <c r="I124" s="11"/>
    </row>
    <row r="125" customFormat="false" ht="15" hidden="false" customHeight="true" outlineLevel="0" collapsed="false">
      <c r="A125" s="11" t="s">
        <v>2317</v>
      </c>
      <c r="B125" s="11" t="s">
        <v>2318</v>
      </c>
      <c r="C125" s="11" t="s">
        <v>346</v>
      </c>
      <c r="D125" s="11" t="s">
        <v>2319</v>
      </c>
      <c r="E125" s="11"/>
      <c r="F125" s="11"/>
      <c r="G125" s="11" t="s">
        <v>2318</v>
      </c>
      <c r="H125" s="11" t="s">
        <v>2302</v>
      </c>
      <c r="I125" s="11"/>
    </row>
    <row r="126" customFormat="false" ht="15" hidden="false" customHeight="true" outlineLevel="0" collapsed="false">
      <c r="A126" s="11" t="s">
        <v>1685</v>
      </c>
      <c r="B126" s="11" t="s">
        <v>2320</v>
      </c>
      <c r="C126" s="11" t="s">
        <v>346</v>
      </c>
      <c r="D126" s="11" t="s">
        <v>1686</v>
      </c>
      <c r="E126" s="11"/>
      <c r="F126" s="11"/>
      <c r="G126" s="11" t="s">
        <v>1687</v>
      </c>
      <c r="H126" s="11" t="s">
        <v>2302</v>
      </c>
      <c r="I126" s="11"/>
      <c r="J126" s="1" t="s">
        <v>77</v>
      </c>
      <c r="K126" s="1" t="n">
        <f aca="false">'Behovsmodell (75p)'!$B$67</f>
        <v>58231.2</v>
      </c>
      <c r="L126" s="1" t="n">
        <f aca="false">('Behovsmodell (75p)'!$B$67)/12</f>
        <v>4852.6</v>
      </c>
    </row>
    <row r="127" customFormat="false" ht="15" hidden="false" customHeight="true" outlineLevel="0" collapsed="false">
      <c r="A127" s="11" t="s">
        <v>2321</v>
      </c>
      <c r="B127" s="11"/>
      <c r="C127" s="11" t="s">
        <v>346</v>
      </c>
      <c r="D127" s="11" t="s">
        <v>2322</v>
      </c>
      <c r="E127" s="11"/>
      <c r="F127" s="11"/>
      <c r="G127" s="11"/>
      <c r="H127" s="11" t="s">
        <v>2302</v>
      </c>
      <c r="I127" s="11"/>
    </row>
    <row r="128" customFormat="false" ht="15" hidden="false" customHeight="true" outlineLevel="0" collapsed="false">
      <c r="A128" s="11" t="s">
        <v>977</v>
      </c>
      <c r="B128" s="11" t="s">
        <v>2323</v>
      </c>
      <c r="C128" s="11" t="s">
        <v>346</v>
      </c>
      <c r="D128" s="11" t="s">
        <v>978</v>
      </c>
      <c r="E128" s="11"/>
      <c r="F128" s="11"/>
      <c r="G128" s="11" t="s">
        <v>979</v>
      </c>
      <c r="H128" s="11" t="s">
        <v>2302</v>
      </c>
      <c r="I128" s="11"/>
    </row>
    <row r="129" customFormat="false" ht="15" hidden="false" customHeight="true" outlineLevel="0" collapsed="false">
      <c r="A129" s="11" t="s">
        <v>2324</v>
      </c>
      <c r="B129" s="11" t="s">
        <v>405</v>
      </c>
      <c r="C129" s="11" t="s">
        <v>346</v>
      </c>
      <c r="D129" s="11" t="s">
        <v>2325</v>
      </c>
      <c r="E129" s="11"/>
      <c r="F129" s="11"/>
      <c r="G129" s="11" t="s">
        <v>405</v>
      </c>
      <c r="H129" s="11" t="s">
        <v>2302</v>
      </c>
      <c r="I129" s="11"/>
    </row>
    <row r="130" customFormat="false" ht="15" hidden="false" customHeight="true" outlineLevel="0" collapsed="false">
      <c r="A130" s="11" t="s">
        <v>214</v>
      </c>
      <c r="B130" s="11" t="s">
        <v>2326</v>
      </c>
      <c r="C130" s="11" t="s">
        <v>346</v>
      </c>
      <c r="D130" s="11" t="s">
        <v>1534</v>
      </c>
      <c r="E130" s="11" t="s">
        <v>1535</v>
      </c>
      <c r="F130" s="11"/>
      <c r="G130" s="11" t="s">
        <v>1536</v>
      </c>
      <c r="H130" s="11" t="s">
        <v>2327</v>
      </c>
      <c r="I130" s="11"/>
      <c r="J130" s="1" t="s">
        <v>84</v>
      </c>
      <c r="K130" s="1" t="n">
        <f aca="false">'Behovsmodell (75p)'!$B$68</f>
        <v>330040.65</v>
      </c>
      <c r="L130" s="1" t="n">
        <f aca="false">('Behovsmodell (75p)'!$B$68)/12</f>
        <v>27503.3875</v>
      </c>
    </row>
    <row r="131" customFormat="false" ht="15" hidden="false" customHeight="true" outlineLevel="0" collapsed="false">
      <c r="A131" s="11" t="s">
        <v>2328</v>
      </c>
      <c r="B131" s="11" t="s">
        <v>345</v>
      </c>
      <c r="C131" s="11" t="s">
        <v>346</v>
      </c>
      <c r="D131" s="11"/>
      <c r="E131" s="11"/>
      <c r="F131" s="11"/>
      <c r="G131" s="11" t="s">
        <v>2329</v>
      </c>
      <c r="H131" s="11" t="s">
        <v>2330</v>
      </c>
      <c r="I131" s="11" t="s">
        <v>2331</v>
      </c>
    </row>
    <row r="132" customFormat="false" ht="15" hidden="false" customHeight="true" outlineLevel="0" collapsed="false">
      <c r="A132" s="11" t="s">
        <v>1639</v>
      </c>
      <c r="B132" s="11" t="s">
        <v>345</v>
      </c>
      <c r="C132" s="11" t="s">
        <v>346</v>
      </c>
      <c r="D132" s="11"/>
      <c r="E132" s="11"/>
      <c r="F132" s="11"/>
      <c r="G132" s="11" t="s">
        <v>1640</v>
      </c>
      <c r="H132" s="11" t="s">
        <v>2330</v>
      </c>
      <c r="I132" s="11"/>
    </row>
    <row r="133" customFormat="false" ht="15" hidden="false" customHeight="true" outlineLevel="0" collapsed="false">
      <c r="A133" s="11" t="s">
        <v>2332</v>
      </c>
      <c r="B133" s="11" t="s">
        <v>2333</v>
      </c>
      <c r="C133" s="11" t="s">
        <v>245</v>
      </c>
      <c r="D133" s="11" t="s">
        <v>2334</v>
      </c>
      <c r="E133" s="11"/>
      <c r="F133" s="11"/>
      <c r="G133" s="11" t="s">
        <v>2335</v>
      </c>
      <c r="H133" s="11" t="s">
        <v>2225</v>
      </c>
      <c r="I133" s="11"/>
    </row>
    <row r="134" customFormat="false" ht="15" hidden="false" customHeight="true" outlineLevel="0" collapsed="false">
      <c r="A134" s="11" t="s">
        <v>2336</v>
      </c>
      <c r="B134" s="11" t="s">
        <v>245</v>
      </c>
      <c r="C134" s="11" t="s">
        <v>245</v>
      </c>
      <c r="D134" s="11" t="s">
        <v>715</v>
      </c>
      <c r="E134" s="11"/>
      <c r="F134" s="11"/>
      <c r="G134" s="11" t="s">
        <v>716</v>
      </c>
      <c r="H134" s="11" t="s">
        <v>2337</v>
      </c>
      <c r="I134" s="11"/>
    </row>
    <row r="135" customFormat="false" ht="15" hidden="false" customHeight="true" outlineLevel="0" collapsed="false">
      <c r="A135" s="11" t="s">
        <v>2338</v>
      </c>
      <c r="B135" s="11" t="s">
        <v>2339</v>
      </c>
      <c r="C135" s="11" t="s">
        <v>245</v>
      </c>
      <c r="D135" s="11" t="s">
        <v>2340</v>
      </c>
      <c r="E135" s="11" t="s">
        <v>2341</v>
      </c>
      <c r="F135" s="11" t="s">
        <v>2342</v>
      </c>
      <c r="G135" s="11" t="s">
        <v>2343</v>
      </c>
      <c r="H135" s="11" t="s">
        <v>2225</v>
      </c>
      <c r="I135" s="11"/>
    </row>
    <row r="136" customFormat="false" ht="15" hidden="false" customHeight="true" outlineLevel="0" collapsed="false">
      <c r="A136" s="11" t="s">
        <v>2344</v>
      </c>
      <c r="B136" s="11" t="s">
        <v>2345</v>
      </c>
      <c r="C136" s="11" t="s">
        <v>245</v>
      </c>
      <c r="D136" s="11"/>
      <c r="E136" s="11"/>
      <c r="F136" s="11"/>
      <c r="G136" s="11" t="s">
        <v>2345</v>
      </c>
      <c r="H136" s="11" t="s">
        <v>2346</v>
      </c>
      <c r="I136" s="11" t="s">
        <v>2347</v>
      </c>
    </row>
    <row r="137" customFormat="false" ht="15" hidden="false" customHeight="true" outlineLevel="0" collapsed="false">
      <c r="A137" s="11" t="s">
        <v>2348</v>
      </c>
      <c r="B137" s="11" t="s">
        <v>2349</v>
      </c>
      <c r="C137" s="11" t="s">
        <v>245</v>
      </c>
      <c r="D137" s="11" t="s">
        <v>963</v>
      </c>
      <c r="E137" s="11" t="s">
        <v>964</v>
      </c>
      <c r="F137" s="11" t="s">
        <v>965</v>
      </c>
      <c r="G137" s="11" t="s">
        <v>966</v>
      </c>
      <c r="H137" s="11" t="s">
        <v>2350</v>
      </c>
      <c r="I137" s="11" t="s">
        <v>2351</v>
      </c>
    </row>
    <row r="138" customFormat="false" ht="15" hidden="false" customHeight="true" outlineLevel="0" collapsed="false">
      <c r="A138" s="11" t="s">
        <v>2352</v>
      </c>
      <c r="B138" s="11" t="s">
        <v>2353</v>
      </c>
      <c r="C138" s="11" t="s">
        <v>245</v>
      </c>
      <c r="D138" s="11"/>
      <c r="E138" s="11" t="s">
        <v>2354</v>
      </c>
      <c r="F138" s="11" t="s">
        <v>2355</v>
      </c>
      <c r="G138" s="11" t="s">
        <v>2356</v>
      </c>
      <c r="H138" s="11" t="s">
        <v>2350</v>
      </c>
      <c r="I138" s="11"/>
    </row>
    <row r="139" customFormat="false" ht="15" hidden="false" customHeight="true" outlineLevel="0" collapsed="false">
      <c r="A139" s="11" t="s">
        <v>994</v>
      </c>
      <c r="B139" s="11" t="s">
        <v>2353</v>
      </c>
      <c r="C139" s="11" t="s">
        <v>245</v>
      </c>
      <c r="D139" s="11" t="s">
        <v>995</v>
      </c>
      <c r="E139" s="11" t="s">
        <v>996</v>
      </c>
      <c r="F139" s="11"/>
      <c r="G139" s="11" t="s">
        <v>997</v>
      </c>
      <c r="H139" s="11" t="s">
        <v>2350</v>
      </c>
      <c r="I139" s="11"/>
    </row>
    <row r="140" customFormat="false" ht="15" hidden="false" customHeight="true" outlineLevel="0" collapsed="false">
      <c r="A140" s="11" t="s">
        <v>1603</v>
      </c>
      <c r="B140" s="11" t="s">
        <v>2357</v>
      </c>
      <c r="C140" s="11" t="s">
        <v>245</v>
      </c>
      <c r="D140" s="11" t="s">
        <v>1604</v>
      </c>
      <c r="E140" s="11" t="s">
        <v>1605</v>
      </c>
      <c r="F140" s="11" t="s">
        <v>1606</v>
      </c>
      <c r="G140" s="11" t="s">
        <v>1607</v>
      </c>
      <c r="H140" s="11" t="s">
        <v>2350</v>
      </c>
      <c r="I140" s="11"/>
    </row>
    <row r="141" customFormat="false" ht="15" hidden="false" customHeight="true" outlineLevel="0" collapsed="false">
      <c r="A141" s="11" t="s">
        <v>2358</v>
      </c>
      <c r="B141" s="11" t="s">
        <v>2359</v>
      </c>
      <c r="C141" s="11" t="s">
        <v>245</v>
      </c>
      <c r="D141" s="11" t="s">
        <v>1449</v>
      </c>
      <c r="E141" s="11" t="s">
        <v>1450</v>
      </c>
      <c r="F141" s="11" t="s">
        <v>1451</v>
      </c>
      <c r="G141" s="11" t="s">
        <v>1452</v>
      </c>
      <c r="H141" s="11" t="s">
        <v>2350</v>
      </c>
      <c r="I141" s="11"/>
    </row>
    <row r="142" customFormat="false" ht="15" hidden="false" customHeight="true" outlineLevel="0" collapsed="false">
      <c r="A142" s="11" t="s">
        <v>2360</v>
      </c>
      <c r="B142" s="11" t="s">
        <v>2361</v>
      </c>
      <c r="C142" s="11" t="s">
        <v>245</v>
      </c>
      <c r="D142" s="11" t="s">
        <v>801</v>
      </c>
      <c r="E142" s="11" t="s">
        <v>802</v>
      </c>
      <c r="F142" s="11"/>
      <c r="G142" s="11" t="s">
        <v>803</v>
      </c>
      <c r="H142" s="11" t="s">
        <v>2350</v>
      </c>
      <c r="I142" s="11"/>
    </row>
    <row r="143" customFormat="false" ht="15" hidden="false" customHeight="true" outlineLevel="0" collapsed="false">
      <c r="A143" s="11" t="s">
        <v>2362</v>
      </c>
      <c r="B143" s="11" t="s">
        <v>2363</v>
      </c>
      <c r="C143" s="11" t="s">
        <v>245</v>
      </c>
      <c r="D143" s="11" t="s">
        <v>2364</v>
      </c>
      <c r="E143" s="11" t="s">
        <v>2365</v>
      </c>
      <c r="F143" s="11" t="s">
        <v>2366</v>
      </c>
      <c r="G143" s="11" t="s">
        <v>2367</v>
      </c>
      <c r="H143" s="11" t="s">
        <v>2350</v>
      </c>
      <c r="I143" s="11" t="s">
        <v>2368</v>
      </c>
    </row>
    <row r="144" customFormat="false" ht="15" hidden="false" customHeight="true" outlineLevel="0" collapsed="false">
      <c r="A144" s="11" t="s">
        <v>2369</v>
      </c>
      <c r="B144" s="11" t="s">
        <v>2370</v>
      </c>
      <c r="C144" s="11" t="s">
        <v>245</v>
      </c>
      <c r="D144" s="11" t="s">
        <v>1248</v>
      </c>
      <c r="E144" s="11" t="s">
        <v>1249</v>
      </c>
      <c r="F144" s="11" t="s">
        <v>1250</v>
      </c>
      <c r="G144" s="11" t="s">
        <v>1251</v>
      </c>
      <c r="H144" s="11" t="s">
        <v>2350</v>
      </c>
      <c r="I144" s="11"/>
    </row>
    <row r="145" customFormat="false" ht="15" hidden="false" customHeight="true" outlineLevel="0" collapsed="false">
      <c r="A145" s="11" t="s">
        <v>2371</v>
      </c>
      <c r="B145" s="11" t="s">
        <v>2372</v>
      </c>
      <c r="C145" s="11" t="s">
        <v>245</v>
      </c>
      <c r="D145" s="11" t="s">
        <v>2373</v>
      </c>
      <c r="E145" s="11" t="s">
        <v>2374</v>
      </c>
      <c r="F145" s="11"/>
      <c r="G145" s="11" t="s">
        <v>2375</v>
      </c>
      <c r="H145" s="11" t="s">
        <v>2350</v>
      </c>
      <c r="I145" s="11"/>
    </row>
    <row r="146" customFormat="false" ht="15" hidden="false" customHeight="true" outlineLevel="0" collapsed="false">
      <c r="A146" s="11" t="s">
        <v>2376</v>
      </c>
      <c r="B146" s="11" t="s">
        <v>2377</v>
      </c>
      <c r="C146" s="11" t="s">
        <v>245</v>
      </c>
      <c r="D146" s="11"/>
      <c r="E146" s="11" t="s">
        <v>2378</v>
      </c>
      <c r="F146" s="11"/>
      <c r="G146" s="11" t="s">
        <v>2377</v>
      </c>
      <c r="H146" s="11" t="s">
        <v>2379</v>
      </c>
      <c r="I146" s="11"/>
    </row>
    <row r="147" customFormat="false" ht="15" hidden="false" customHeight="true" outlineLevel="0" collapsed="false">
      <c r="A147" s="11" t="s">
        <v>2380</v>
      </c>
      <c r="B147" s="11" t="s">
        <v>2377</v>
      </c>
      <c r="C147" s="11" t="s">
        <v>245</v>
      </c>
      <c r="D147" s="11"/>
      <c r="E147" s="11" t="s">
        <v>2381</v>
      </c>
      <c r="F147" s="11"/>
      <c r="G147" s="11" t="s">
        <v>2377</v>
      </c>
      <c r="H147" s="11" t="s">
        <v>2379</v>
      </c>
      <c r="I147" s="11"/>
    </row>
    <row r="148" customFormat="false" ht="15" hidden="false" customHeight="true" outlineLevel="0" collapsed="false">
      <c r="A148" s="11" t="s">
        <v>2382</v>
      </c>
      <c r="B148" s="11" t="s">
        <v>2377</v>
      </c>
      <c r="C148" s="11" t="s">
        <v>245</v>
      </c>
      <c r="D148" s="11" t="s">
        <v>2383</v>
      </c>
      <c r="E148" s="11" t="s">
        <v>2384</v>
      </c>
      <c r="F148" s="11" t="s">
        <v>2385</v>
      </c>
      <c r="G148" s="11" t="s">
        <v>2386</v>
      </c>
      <c r="H148" s="11" t="s">
        <v>2350</v>
      </c>
      <c r="I148" s="11"/>
    </row>
    <row r="149" customFormat="false" ht="15" hidden="false" customHeight="true" outlineLevel="0" collapsed="false">
      <c r="A149" s="11" t="s">
        <v>2387</v>
      </c>
      <c r="B149" s="11" t="s">
        <v>2377</v>
      </c>
      <c r="C149" s="11" t="s">
        <v>245</v>
      </c>
      <c r="D149" s="11"/>
      <c r="E149" s="11" t="s">
        <v>2388</v>
      </c>
      <c r="F149" s="11"/>
      <c r="G149" s="11" t="s">
        <v>2377</v>
      </c>
      <c r="H149" s="11" t="s">
        <v>2379</v>
      </c>
      <c r="I149" s="11"/>
    </row>
    <row r="150" customFormat="false" ht="15" hidden="false" customHeight="true" outlineLevel="0" collapsed="false">
      <c r="A150" s="11" t="s">
        <v>2389</v>
      </c>
      <c r="B150" s="11" t="s">
        <v>2390</v>
      </c>
      <c r="C150" s="11" t="s">
        <v>245</v>
      </c>
      <c r="D150" s="11" t="s">
        <v>2391</v>
      </c>
      <c r="E150" s="11" t="s">
        <v>2392</v>
      </c>
      <c r="F150" s="11"/>
      <c r="G150" s="11" t="s">
        <v>2377</v>
      </c>
      <c r="H150" s="11" t="s">
        <v>2379</v>
      </c>
      <c r="I150" s="11"/>
    </row>
    <row r="151" customFormat="false" ht="15" hidden="false" customHeight="true" outlineLevel="0" collapsed="false">
      <c r="A151" s="11" t="s">
        <v>2393</v>
      </c>
      <c r="B151" s="11" t="s">
        <v>2394</v>
      </c>
      <c r="C151" s="11" t="s">
        <v>245</v>
      </c>
      <c r="D151" s="11"/>
      <c r="E151" s="11" t="s">
        <v>2395</v>
      </c>
      <c r="F151" s="11"/>
      <c r="G151" s="11" t="s">
        <v>2396</v>
      </c>
      <c r="H151" s="11" t="s">
        <v>2397</v>
      </c>
      <c r="I151" s="11"/>
    </row>
    <row r="152" customFormat="false" ht="15" hidden="false" customHeight="true" outlineLevel="0" collapsed="false">
      <c r="A152" s="11" t="s">
        <v>2398</v>
      </c>
      <c r="B152" s="11" t="s">
        <v>2363</v>
      </c>
      <c r="C152" s="11" t="s">
        <v>245</v>
      </c>
      <c r="D152" s="11"/>
      <c r="E152" s="11" t="s">
        <v>1732</v>
      </c>
      <c r="F152" s="11"/>
      <c r="G152" s="11" t="s">
        <v>1733</v>
      </c>
      <c r="H152" s="11" t="s">
        <v>2397</v>
      </c>
      <c r="I152" s="11"/>
    </row>
    <row r="153" customFormat="false" ht="15" hidden="false" customHeight="true" outlineLevel="0" collapsed="false">
      <c r="A153" s="11" t="s">
        <v>2399</v>
      </c>
      <c r="B153" s="11" t="s">
        <v>2361</v>
      </c>
      <c r="C153" s="11" t="s">
        <v>245</v>
      </c>
      <c r="D153" s="11" t="s">
        <v>2400</v>
      </c>
      <c r="E153" s="11" t="s">
        <v>2401</v>
      </c>
      <c r="F153" s="11" t="s">
        <v>2402</v>
      </c>
      <c r="G153" s="11" t="s">
        <v>2403</v>
      </c>
      <c r="H153" s="11" t="s">
        <v>2350</v>
      </c>
      <c r="I153" s="11"/>
    </row>
    <row r="154" customFormat="false" ht="15" hidden="false" customHeight="true" outlineLevel="0" collapsed="false">
      <c r="A154" s="11" t="s">
        <v>2404</v>
      </c>
      <c r="B154" s="11" t="s">
        <v>449</v>
      </c>
      <c r="C154" s="11" t="s">
        <v>245</v>
      </c>
      <c r="D154" s="11" t="s">
        <v>1822</v>
      </c>
      <c r="E154" s="11" t="s">
        <v>1823</v>
      </c>
      <c r="F154" s="11"/>
      <c r="G154" s="11" t="s">
        <v>1824</v>
      </c>
      <c r="H154" s="11" t="s">
        <v>2225</v>
      </c>
      <c r="I154" s="11" t="s">
        <v>2405</v>
      </c>
    </row>
    <row r="155" customFormat="false" ht="15" hidden="false" customHeight="true" outlineLevel="0" collapsed="false">
      <c r="A155" s="11" t="s">
        <v>2406</v>
      </c>
      <c r="B155" s="11" t="s">
        <v>350</v>
      </c>
      <c r="C155" s="11" t="s">
        <v>351</v>
      </c>
      <c r="D155" s="11" t="s">
        <v>1849</v>
      </c>
      <c r="E155" s="11" t="s">
        <v>1850</v>
      </c>
      <c r="F155" s="11" t="s">
        <v>1851</v>
      </c>
      <c r="G155" s="11" t="s">
        <v>1852</v>
      </c>
      <c r="H155" s="11" t="s">
        <v>2225</v>
      </c>
      <c r="I155" s="11"/>
    </row>
    <row r="156" customFormat="false" ht="15" hidden="false" customHeight="true" outlineLevel="0" collapsed="false">
      <c r="A156" s="11" t="s">
        <v>2407</v>
      </c>
      <c r="B156" s="11" t="s">
        <v>2408</v>
      </c>
      <c r="C156" s="11" t="s">
        <v>351</v>
      </c>
      <c r="D156" s="11" t="s">
        <v>728</v>
      </c>
      <c r="E156" s="11" t="s">
        <v>729</v>
      </c>
      <c r="F156" s="11" t="s">
        <v>730</v>
      </c>
      <c r="G156" s="11" t="s">
        <v>731</v>
      </c>
      <c r="H156" s="11" t="s">
        <v>2409</v>
      </c>
      <c r="I156" s="11"/>
    </row>
    <row r="157" customFormat="false" ht="15" hidden="false" customHeight="true" outlineLevel="0" collapsed="false">
      <c r="A157" s="11" t="s">
        <v>780</v>
      </c>
      <c r="B157" s="11" t="s">
        <v>695</v>
      </c>
      <c r="C157" s="11" t="s">
        <v>351</v>
      </c>
      <c r="D157" s="11" t="s">
        <v>782</v>
      </c>
      <c r="E157" s="11" t="s">
        <v>783</v>
      </c>
      <c r="F157" s="11" t="s">
        <v>784</v>
      </c>
      <c r="G157" s="11" t="s">
        <v>785</v>
      </c>
      <c r="H157" s="11" t="s">
        <v>2410</v>
      </c>
      <c r="I157" s="11"/>
    </row>
    <row r="158" customFormat="false" ht="15" hidden="false" customHeight="true" outlineLevel="0" collapsed="false">
      <c r="A158" s="11" t="s">
        <v>871</v>
      </c>
      <c r="B158" s="11" t="s">
        <v>695</v>
      </c>
      <c r="C158" s="11" t="s">
        <v>351</v>
      </c>
      <c r="D158" s="11" t="s">
        <v>872</v>
      </c>
      <c r="E158" s="11" t="s">
        <v>873</v>
      </c>
      <c r="F158" s="11" t="s">
        <v>874</v>
      </c>
      <c r="G158" s="11" t="s">
        <v>875</v>
      </c>
      <c r="H158" s="11" t="s">
        <v>2411</v>
      </c>
      <c r="I158" s="11"/>
    </row>
    <row r="159" customFormat="false" ht="15" hidden="false" customHeight="true" outlineLevel="0" collapsed="false">
      <c r="A159" s="11" t="s">
        <v>1306</v>
      </c>
      <c r="B159" s="11" t="s">
        <v>695</v>
      </c>
      <c r="C159" s="11" t="s">
        <v>351</v>
      </c>
      <c r="D159" s="11" t="s">
        <v>1307</v>
      </c>
      <c r="E159" s="11"/>
      <c r="F159" s="11" t="s">
        <v>1308</v>
      </c>
      <c r="G159" s="11" t="s">
        <v>1309</v>
      </c>
      <c r="H159" s="11" t="s">
        <v>2410</v>
      </c>
      <c r="I159" s="11"/>
    </row>
    <row r="160" customFormat="false" ht="15" hidden="false" customHeight="true" outlineLevel="0" collapsed="false">
      <c r="A160" s="11" t="s">
        <v>2412</v>
      </c>
      <c r="B160" s="11" t="s">
        <v>695</v>
      </c>
      <c r="C160" s="11" t="s">
        <v>351</v>
      </c>
      <c r="D160" s="11"/>
      <c r="E160" s="11" t="s">
        <v>2413</v>
      </c>
      <c r="F160" s="11"/>
      <c r="G160" s="11" t="s">
        <v>2414</v>
      </c>
      <c r="H160" s="11" t="s">
        <v>2411</v>
      </c>
      <c r="I160" s="11"/>
    </row>
    <row r="161" customFormat="false" ht="15" hidden="false" customHeight="true" outlineLevel="0" collapsed="false">
      <c r="A161" s="11" t="s">
        <v>2415</v>
      </c>
      <c r="B161" s="11" t="s">
        <v>2416</v>
      </c>
      <c r="C161" s="11" t="s">
        <v>351</v>
      </c>
      <c r="D161" s="11" t="s">
        <v>1865</v>
      </c>
      <c r="E161" s="11" t="s">
        <v>1866</v>
      </c>
      <c r="F161" s="11" t="s">
        <v>1867</v>
      </c>
      <c r="G161" s="11" t="s">
        <v>1868</v>
      </c>
      <c r="H161" s="11" t="s">
        <v>2411</v>
      </c>
      <c r="I161" s="11"/>
    </row>
    <row r="162" customFormat="false" ht="15" hidden="false" customHeight="true" outlineLevel="0" collapsed="false">
      <c r="A162" s="11" t="s">
        <v>2417</v>
      </c>
      <c r="B162" s="11" t="s">
        <v>2416</v>
      </c>
      <c r="C162" s="11" t="s">
        <v>351</v>
      </c>
      <c r="D162" s="11" t="s">
        <v>2418</v>
      </c>
      <c r="E162" s="11" t="s">
        <v>2419</v>
      </c>
      <c r="F162" s="11" t="s">
        <v>2420</v>
      </c>
      <c r="G162" s="11" t="s">
        <v>2421</v>
      </c>
      <c r="H162" s="11" t="s">
        <v>2411</v>
      </c>
      <c r="I162" s="11"/>
    </row>
    <row r="163" customFormat="false" ht="15" hidden="false" customHeight="true" outlineLevel="0" collapsed="false">
      <c r="A163" s="11" t="s">
        <v>2422</v>
      </c>
      <c r="B163" s="11" t="s">
        <v>2423</v>
      </c>
      <c r="C163" s="11" t="s">
        <v>351</v>
      </c>
      <c r="D163" s="11"/>
      <c r="E163" s="11" t="s">
        <v>641</v>
      </c>
      <c r="F163" s="11"/>
      <c r="G163" s="11" t="s">
        <v>642</v>
      </c>
      <c r="H163" s="11" t="s">
        <v>2410</v>
      </c>
      <c r="I163" s="11"/>
    </row>
    <row r="164" customFormat="false" ht="15" hidden="false" customHeight="true" outlineLevel="0" collapsed="false">
      <c r="A164" s="11" t="s">
        <v>2424</v>
      </c>
      <c r="B164" s="11" t="s">
        <v>2425</v>
      </c>
      <c r="C164" s="11" t="s">
        <v>351</v>
      </c>
      <c r="D164" s="11"/>
      <c r="E164" s="11" t="s">
        <v>2426</v>
      </c>
      <c r="F164" s="11"/>
      <c r="G164" s="11" t="s">
        <v>2427</v>
      </c>
      <c r="H164" s="11" t="s">
        <v>2411</v>
      </c>
      <c r="I164" s="11"/>
    </row>
    <row r="165" customFormat="false" ht="15" hidden="false" customHeight="true" outlineLevel="0" collapsed="false">
      <c r="A165" s="11" t="s">
        <v>2428</v>
      </c>
      <c r="B165" s="11" t="s">
        <v>2429</v>
      </c>
      <c r="C165" s="11" t="s">
        <v>351</v>
      </c>
      <c r="D165" s="11"/>
      <c r="E165" s="11" t="s">
        <v>2430</v>
      </c>
      <c r="F165" s="11" t="s">
        <v>2431</v>
      </c>
      <c r="G165" s="11" t="s">
        <v>2432</v>
      </c>
      <c r="H165" s="11" t="s">
        <v>2411</v>
      </c>
      <c r="I165" s="11"/>
    </row>
    <row r="166" customFormat="false" ht="15" hidden="false" customHeight="true" outlineLevel="0" collapsed="false">
      <c r="A166" s="11" t="s">
        <v>2433</v>
      </c>
      <c r="B166" s="11" t="s">
        <v>2434</v>
      </c>
      <c r="C166" s="11" t="s">
        <v>351</v>
      </c>
      <c r="D166" s="11"/>
      <c r="E166" s="11" t="s">
        <v>2435</v>
      </c>
      <c r="F166" s="11"/>
      <c r="G166" s="11" t="s">
        <v>2436</v>
      </c>
      <c r="H166" s="11" t="s">
        <v>2411</v>
      </c>
      <c r="I166" s="11"/>
    </row>
    <row r="167" customFormat="false" ht="15" hidden="false" customHeight="true" outlineLevel="0" collapsed="false">
      <c r="A167" s="11" t="s">
        <v>1433</v>
      </c>
      <c r="B167" s="11" t="s">
        <v>2434</v>
      </c>
      <c r="C167" s="11" t="s">
        <v>351</v>
      </c>
      <c r="D167" s="11" t="s">
        <v>1434</v>
      </c>
      <c r="E167" s="11" t="s">
        <v>1435</v>
      </c>
      <c r="F167" s="11" t="s">
        <v>1436</v>
      </c>
      <c r="G167" s="11" t="s">
        <v>1437</v>
      </c>
      <c r="H167" s="11" t="s">
        <v>2410</v>
      </c>
      <c r="I167" s="11"/>
    </row>
    <row r="168" customFormat="false" ht="15" hidden="false" customHeight="true" outlineLevel="0" collapsed="false">
      <c r="A168" s="11" t="s">
        <v>2437</v>
      </c>
      <c r="B168" s="11" t="s">
        <v>2438</v>
      </c>
      <c r="C168" s="11" t="s">
        <v>351</v>
      </c>
      <c r="D168" s="11"/>
      <c r="E168" s="11" t="s">
        <v>2439</v>
      </c>
      <c r="F168" s="11"/>
      <c r="G168" s="11" t="s">
        <v>2440</v>
      </c>
      <c r="H168" s="11" t="s">
        <v>2411</v>
      </c>
      <c r="I168" s="11"/>
    </row>
    <row r="169" customFormat="false" ht="15" hidden="false" customHeight="true" outlineLevel="0" collapsed="false">
      <c r="A169" s="11" t="s">
        <v>2441</v>
      </c>
      <c r="B169" s="11" t="s">
        <v>350</v>
      </c>
      <c r="C169" s="11" t="s">
        <v>351</v>
      </c>
      <c r="D169" s="11"/>
      <c r="E169" s="11" t="s">
        <v>2442</v>
      </c>
      <c r="F169" s="11" t="s">
        <v>2443</v>
      </c>
      <c r="G169" s="11" t="s">
        <v>2444</v>
      </c>
      <c r="H169" s="11" t="s">
        <v>2411</v>
      </c>
      <c r="I169" s="11"/>
    </row>
    <row r="170" customFormat="false" ht="15" hidden="false" customHeight="true" outlineLevel="0" collapsed="false">
      <c r="A170" s="11" t="s">
        <v>2445</v>
      </c>
      <c r="B170" s="11" t="s">
        <v>2446</v>
      </c>
      <c r="C170" s="11" t="s">
        <v>351</v>
      </c>
      <c r="D170" s="11" t="s">
        <v>508</v>
      </c>
      <c r="E170" s="11" t="s">
        <v>509</v>
      </c>
      <c r="F170" s="11"/>
      <c r="G170" s="11" t="s">
        <v>510</v>
      </c>
      <c r="H170" s="11" t="s">
        <v>2410</v>
      </c>
      <c r="I170" s="11"/>
    </row>
    <row r="171" customFormat="false" ht="15" hidden="false" customHeight="true" outlineLevel="0" collapsed="false">
      <c r="A171" s="11" t="s">
        <v>2447</v>
      </c>
      <c r="B171" s="11" t="s">
        <v>2446</v>
      </c>
      <c r="C171" s="11" t="s">
        <v>351</v>
      </c>
      <c r="D171" s="11" t="s">
        <v>2448</v>
      </c>
      <c r="E171" s="11" t="s">
        <v>2449</v>
      </c>
      <c r="F171" s="11" t="s">
        <v>2450</v>
      </c>
      <c r="G171" s="11" t="s">
        <v>2451</v>
      </c>
      <c r="H171" s="11" t="s">
        <v>2411</v>
      </c>
      <c r="I171" s="11"/>
    </row>
    <row r="172" customFormat="false" ht="15" hidden="false" customHeight="true" outlineLevel="0" collapsed="false">
      <c r="A172" s="11" t="s">
        <v>2452</v>
      </c>
      <c r="B172" s="11" t="s">
        <v>2446</v>
      </c>
      <c r="C172" s="11" t="s">
        <v>351</v>
      </c>
      <c r="D172" s="11" t="s">
        <v>2453</v>
      </c>
      <c r="E172" s="11" t="s">
        <v>2454</v>
      </c>
      <c r="F172" s="11" t="s">
        <v>2455</v>
      </c>
      <c r="G172" s="11" t="s">
        <v>2456</v>
      </c>
      <c r="H172" s="11" t="s">
        <v>2411</v>
      </c>
      <c r="I172" s="11"/>
    </row>
    <row r="173" customFormat="false" ht="15" hidden="false" customHeight="true" outlineLevel="0" collapsed="false">
      <c r="A173" s="11" t="s">
        <v>2457</v>
      </c>
      <c r="B173" s="11" t="s">
        <v>2458</v>
      </c>
      <c r="C173" s="11" t="s">
        <v>351</v>
      </c>
      <c r="D173" s="11"/>
      <c r="E173" s="11" t="s">
        <v>2459</v>
      </c>
      <c r="F173" s="11" t="s">
        <v>2460</v>
      </c>
      <c r="G173" s="11" t="s">
        <v>2461</v>
      </c>
      <c r="H173" s="11" t="s">
        <v>2410</v>
      </c>
      <c r="I173" s="11"/>
    </row>
    <row r="174" customFormat="false" ht="15" hidden="false" customHeight="true" outlineLevel="0" collapsed="false">
      <c r="A174" s="11" t="s">
        <v>2462</v>
      </c>
      <c r="B174" s="11" t="s">
        <v>522</v>
      </c>
      <c r="C174" s="11" t="s">
        <v>351</v>
      </c>
      <c r="D174" s="11"/>
      <c r="E174" s="11" t="s">
        <v>2463</v>
      </c>
      <c r="F174" s="11" t="s">
        <v>2464</v>
      </c>
      <c r="G174" s="11" t="s">
        <v>2465</v>
      </c>
      <c r="H174" s="11" t="s">
        <v>2411</v>
      </c>
      <c r="I174" s="11"/>
    </row>
    <row r="175" customFormat="false" ht="15" hidden="false" customHeight="true" outlineLevel="0" collapsed="false">
      <c r="A175" s="11" t="s">
        <v>2466</v>
      </c>
      <c r="B175" s="11" t="s">
        <v>2467</v>
      </c>
      <c r="C175" s="11" t="s">
        <v>351</v>
      </c>
      <c r="D175" s="11"/>
      <c r="E175" s="11" t="s">
        <v>2468</v>
      </c>
      <c r="F175" s="11" t="s">
        <v>2469</v>
      </c>
      <c r="G175" s="11" t="s">
        <v>2470</v>
      </c>
      <c r="H175" s="11" t="s">
        <v>2410</v>
      </c>
      <c r="I175" s="11"/>
    </row>
    <row r="176" customFormat="false" ht="15" hidden="false" customHeight="true" outlineLevel="0" collapsed="false">
      <c r="A176" s="11" t="s">
        <v>2471</v>
      </c>
      <c r="B176" s="11" t="s">
        <v>2467</v>
      </c>
      <c r="C176" s="11" t="s">
        <v>351</v>
      </c>
      <c r="D176" s="11" t="s">
        <v>2472</v>
      </c>
      <c r="E176" s="11" t="s">
        <v>2473</v>
      </c>
      <c r="F176" s="11"/>
      <c r="G176" s="11" t="s">
        <v>2474</v>
      </c>
      <c r="H176" s="11" t="s">
        <v>2410</v>
      </c>
      <c r="I176" s="11"/>
    </row>
    <row r="177" customFormat="false" ht="15" hidden="false" customHeight="true" outlineLevel="0" collapsed="false">
      <c r="A177" s="11" t="s">
        <v>561</v>
      </c>
      <c r="B177" s="11" t="s">
        <v>2467</v>
      </c>
      <c r="C177" s="11" t="s">
        <v>351</v>
      </c>
      <c r="D177" s="11" t="s">
        <v>562</v>
      </c>
      <c r="E177" s="11" t="s">
        <v>563</v>
      </c>
      <c r="F177" s="11" t="s">
        <v>564</v>
      </c>
      <c r="G177" s="11" t="s">
        <v>565</v>
      </c>
      <c r="H177" s="11" t="s">
        <v>2411</v>
      </c>
      <c r="I177" s="11"/>
    </row>
    <row r="178" customFormat="false" ht="15" hidden="false" customHeight="true" outlineLevel="0" collapsed="false">
      <c r="A178" s="11" t="s">
        <v>2475</v>
      </c>
      <c r="B178" s="11" t="s">
        <v>1956</v>
      </c>
      <c r="C178" s="11" t="s">
        <v>351</v>
      </c>
      <c r="D178" s="11" t="s">
        <v>2476</v>
      </c>
      <c r="E178" s="11" t="s">
        <v>2477</v>
      </c>
      <c r="F178" s="11" t="s">
        <v>2478</v>
      </c>
      <c r="G178" s="11" t="s">
        <v>2479</v>
      </c>
      <c r="H178" s="11" t="s">
        <v>2411</v>
      </c>
      <c r="I178" s="11"/>
    </row>
    <row r="179" customFormat="false" ht="15" hidden="false" customHeight="true" outlineLevel="0" collapsed="false">
      <c r="A179" s="11" t="s">
        <v>1511</v>
      </c>
      <c r="B179" s="11" t="s">
        <v>1956</v>
      </c>
      <c r="C179" s="11" t="s">
        <v>351</v>
      </c>
      <c r="D179" s="11" t="s">
        <v>1512</v>
      </c>
      <c r="E179" s="11" t="s">
        <v>1513</v>
      </c>
      <c r="F179" s="11" t="s">
        <v>1514</v>
      </c>
      <c r="G179" s="11" t="s">
        <v>1515</v>
      </c>
      <c r="H179" s="11" t="s">
        <v>2411</v>
      </c>
      <c r="I179" s="11"/>
    </row>
    <row r="180" customFormat="false" ht="15" hidden="false" customHeight="true" outlineLevel="0" collapsed="false">
      <c r="A180" s="11" t="s">
        <v>2480</v>
      </c>
      <c r="B180" s="11" t="s">
        <v>2481</v>
      </c>
      <c r="C180" s="11" t="s">
        <v>351</v>
      </c>
      <c r="D180" s="11"/>
      <c r="E180" s="11" t="s">
        <v>2482</v>
      </c>
      <c r="F180" s="11" t="s">
        <v>2483</v>
      </c>
      <c r="G180" s="11" t="s">
        <v>2484</v>
      </c>
      <c r="H180" s="11" t="s">
        <v>2411</v>
      </c>
      <c r="I180" s="11"/>
    </row>
    <row r="181" customFormat="false" ht="15" hidden="false" customHeight="true" outlineLevel="0" collapsed="false">
      <c r="A181" s="11" t="s">
        <v>2485</v>
      </c>
      <c r="B181" s="11" t="s">
        <v>2481</v>
      </c>
      <c r="C181" s="11" t="s">
        <v>351</v>
      </c>
      <c r="D181" s="11" t="s">
        <v>1360</v>
      </c>
      <c r="E181" s="11" t="s">
        <v>1361</v>
      </c>
      <c r="F181" s="11" t="s">
        <v>1362</v>
      </c>
      <c r="G181" s="11" t="s">
        <v>1363</v>
      </c>
      <c r="H181" s="11" t="s">
        <v>2411</v>
      </c>
      <c r="I181" s="11"/>
    </row>
    <row r="182" customFormat="false" ht="15" hidden="false" customHeight="true" outlineLevel="0" collapsed="false">
      <c r="A182" s="11" t="s">
        <v>1890</v>
      </c>
      <c r="B182" s="11" t="s">
        <v>695</v>
      </c>
      <c r="C182" s="11" t="s">
        <v>351</v>
      </c>
      <c r="D182" s="11" t="s">
        <v>1891</v>
      </c>
      <c r="E182" s="11" t="s">
        <v>1892</v>
      </c>
      <c r="F182" s="11" t="s">
        <v>1893</v>
      </c>
      <c r="G182" s="11" t="s">
        <v>1894</v>
      </c>
      <c r="H182" s="11" t="s">
        <v>2411</v>
      </c>
      <c r="I182" s="11"/>
    </row>
    <row r="183" customFormat="false" ht="15" hidden="false" customHeight="true" outlineLevel="0" collapsed="false">
      <c r="A183" s="11" t="s">
        <v>2486</v>
      </c>
      <c r="B183" s="11" t="s">
        <v>695</v>
      </c>
      <c r="C183" s="11" t="s">
        <v>351</v>
      </c>
      <c r="D183" s="11"/>
      <c r="E183" s="11" t="s">
        <v>2487</v>
      </c>
      <c r="F183" s="11" t="s">
        <v>2488</v>
      </c>
      <c r="G183" s="11" t="s">
        <v>2489</v>
      </c>
      <c r="H183" s="11" t="s">
        <v>2411</v>
      </c>
      <c r="I183" s="11"/>
    </row>
    <row r="184" customFormat="false" ht="15" hidden="false" customHeight="true" outlineLevel="0" collapsed="false">
      <c r="A184" s="11" t="s">
        <v>2490</v>
      </c>
      <c r="B184" s="11" t="s">
        <v>848</v>
      </c>
      <c r="C184" s="11" t="s">
        <v>536</v>
      </c>
      <c r="D184" s="11" t="s">
        <v>849</v>
      </c>
      <c r="E184" s="11"/>
      <c r="F184" s="11" t="s">
        <v>850</v>
      </c>
      <c r="G184" s="11" t="s">
        <v>851</v>
      </c>
      <c r="H184" s="11" t="s">
        <v>2491</v>
      </c>
      <c r="I184" s="11"/>
    </row>
    <row r="185" customFormat="false" ht="15" hidden="false" customHeight="true" outlineLevel="0" collapsed="false">
      <c r="A185" s="11" t="s">
        <v>2492</v>
      </c>
      <c r="B185" s="11" t="s">
        <v>2493</v>
      </c>
      <c r="C185" s="11" t="s">
        <v>536</v>
      </c>
      <c r="D185" s="11" t="s">
        <v>895</v>
      </c>
      <c r="E185" s="11" t="s">
        <v>896</v>
      </c>
      <c r="F185" s="11"/>
      <c r="G185" s="11" t="s">
        <v>897</v>
      </c>
      <c r="H185" s="11" t="s">
        <v>2491</v>
      </c>
      <c r="I185" s="11"/>
    </row>
    <row r="186" customFormat="false" ht="15" hidden="false" customHeight="true" outlineLevel="0" collapsed="false">
      <c r="A186" s="11" t="s">
        <v>2494</v>
      </c>
      <c r="B186" s="11" t="s">
        <v>2495</v>
      </c>
      <c r="C186" s="11" t="s">
        <v>536</v>
      </c>
      <c r="D186" s="11" t="s">
        <v>2496</v>
      </c>
      <c r="E186" s="11" t="s">
        <v>2497</v>
      </c>
      <c r="F186" s="11"/>
      <c r="G186" s="11" t="s">
        <v>2498</v>
      </c>
      <c r="H186" s="11" t="s">
        <v>2491</v>
      </c>
      <c r="I186" s="11"/>
    </row>
    <row r="187" customFormat="false" ht="15" hidden="false" customHeight="true" outlineLevel="0" collapsed="false">
      <c r="A187" s="11" t="s">
        <v>2499</v>
      </c>
      <c r="B187" s="11" t="s">
        <v>892</v>
      </c>
      <c r="C187" s="11" t="s">
        <v>536</v>
      </c>
      <c r="D187" s="11" t="s">
        <v>2500</v>
      </c>
      <c r="E187" s="11" t="s">
        <v>2501</v>
      </c>
      <c r="F187" s="11"/>
      <c r="G187" s="11" t="s">
        <v>2502</v>
      </c>
      <c r="H187" s="11" t="s">
        <v>2491</v>
      </c>
      <c r="I187" s="11"/>
    </row>
    <row r="188" customFormat="false" ht="15" hidden="false" customHeight="true" outlineLevel="0" collapsed="false">
      <c r="A188" s="11" t="s">
        <v>2503</v>
      </c>
      <c r="B188" s="11" t="s">
        <v>1071</v>
      </c>
      <c r="C188" s="11" t="s">
        <v>536</v>
      </c>
      <c r="D188" s="11" t="s">
        <v>1460</v>
      </c>
      <c r="E188" s="11" t="s">
        <v>1461</v>
      </c>
      <c r="F188" s="11"/>
      <c r="G188" s="11" t="s">
        <v>1462</v>
      </c>
      <c r="H188" s="11" t="s">
        <v>2491</v>
      </c>
      <c r="I188" s="11"/>
    </row>
    <row r="189" customFormat="false" ht="15" hidden="false" customHeight="true" outlineLevel="0" collapsed="false">
      <c r="A189" s="11" t="s">
        <v>2504</v>
      </c>
      <c r="B189" s="11" t="s">
        <v>892</v>
      </c>
      <c r="C189" s="11" t="s">
        <v>536</v>
      </c>
      <c r="D189" s="11" t="s">
        <v>2505</v>
      </c>
      <c r="E189" s="11" t="s">
        <v>2506</v>
      </c>
      <c r="F189" s="11"/>
      <c r="G189" s="11" t="s">
        <v>2507</v>
      </c>
      <c r="H189" s="11" t="s">
        <v>2491</v>
      </c>
      <c r="I189" s="11"/>
    </row>
    <row r="190" customFormat="false" ht="15" hidden="false" customHeight="true" outlineLevel="0" collapsed="false">
      <c r="A190" s="11" t="s">
        <v>2508</v>
      </c>
      <c r="B190" s="11" t="s">
        <v>1079</v>
      </c>
      <c r="C190" s="11" t="s">
        <v>536</v>
      </c>
      <c r="D190" s="11" t="s">
        <v>2509</v>
      </c>
      <c r="E190" s="11" t="s">
        <v>2510</v>
      </c>
      <c r="F190" s="11"/>
      <c r="G190" s="11" t="s">
        <v>2511</v>
      </c>
      <c r="H190" s="11" t="s">
        <v>2491</v>
      </c>
      <c r="I190" s="11"/>
    </row>
    <row r="191" customFormat="false" ht="15" hidden="false" customHeight="true" outlineLevel="0" collapsed="false">
      <c r="A191" s="11" t="s">
        <v>2512</v>
      </c>
      <c r="B191" s="11" t="s">
        <v>2513</v>
      </c>
      <c r="C191" s="11" t="s">
        <v>536</v>
      </c>
      <c r="D191" s="11"/>
      <c r="E191" s="11" t="s">
        <v>2514</v>
      </c>
      <c r="F191" s="11"/>
      <c r="G191" s="11" t="s">
        <v>2515</v>
      </c>
      <c r="H191" s="11" t="s">
        <v>2516</v>
      </c>
      <c r="I191" s="11" t="s">
        <v>2517</v>
      </c>
    </row>
    <row r="192" customFormat="false" ht="15" hidden="false" customHeight="true" outlineLevel="0" collapsed="false">
      <c r="A192" s="11" t="s">
        <v>2518</v>
      </c>
      <c r="B192" s="11" t="s">
        <v>848</v>
      </c>
      <c r="C192" s="11" t="s">
        <v>536</v>
      </c>
      <c r="D192" s="11"/>
      <c r="E192" s="11" t="s">
        <v>2519</v>
      </c>
      <c r="F192" s="11"/>
      <c r="G192" s="11" t="s">
        <v>2520</v>
      </c>
      <c r="H192" s="11" t="s">
        <v>2516</v>
      </c>
      <c r="I192" s="11" t="s">
        <v>2517</v>
      </c>
    </row>
    <row r="193" customFormat="false" ht="15" hidden="false" customHeight="true" outlineLevel="0" collapsed="false">
      <c r="A193" s="11" t="s">
        <v>2521</v>
      </c>
      <c r="B193" s="11" t="s">
        <v>2522</v>
      </c>
      <c r="C193" s="11" t="s">
        <v>536</v>
      </c>
      <c r="D193" s="11"/>
      <c r="E193" s="11" t="s">
        <v>2523</v>
      </c>
      <c r="F193" s="11"/>
      <c r="G193" s="11" t="s">
        <v>2524</v>
      </c>
      <c r="H193" s="11" t="s">
        <v>2516</v>
      </c>
      <c r="I193" s="11" t="s">
        <v>2517</v>
      </c>
    </row>
    <row r="194" customFormat="false" ht="15" hidden="false" customHeight="true" outlineLevel="0" collapsed="false">
      <c r="A194" s="11" t="s">
        <v>2525</v>
      </c>
      <c r="B194" s="11" t="s">
        <v>1648</v>
      </c>
      <c r="C194" s="11" t="s">
        <v>536</v>
      </c>
      <c r="D194" s="11"/>
      <c r="E194" s="11"/>
      <c r="F194" s="11"/>
      <c r="G194" s="11" t="s">
        <v>1648</v>
      </c>
      <c r="H194" s="11" t="s">
        <v>2526</v>
      </c>
      <c r="I194" s="11"/>
    </row>
    <row r="195" customFormat="false" ht="15" hidden="false" customHeight="true" outlineLevel="0" collapsed="false">
      <c r="A195" s="11" t="s">
        <v>2527</v>
      </c>
      <c r="B195" s="11" t="s">
        <v>1648</v>
      </c>
      <c r="C195" s="11" t="s">
        <v>536</v>
      </c>
      <c r="D195" s="11"/>
      <c r="E195" s="11"/>
      <c r="F195" s="11"/>
      <c r="G195" s="11" t="s">
        <v>1648</v>
      </c>
      <c r="H195" s="11" t="s">
        <v>2526</v>
      </c>
      <c r="I195" s="11"/>
    </row>
    <row r="196" customFormat="false" ht="15" hidden="false" customHeight="true" outlineLevel="0" collapsed="false">
      <c r="A196" s="11" t="s">
        <v>2528</v>
      </c>
      <c r="B196" s="11" t="s">
        <v>892</v>
      </c>
      <c r="C196" s="11" t="s">
        <v>536</v>
      </c>
      <c r="D196" s="11" t="s">
        <v>2529</v>
      </c>
      <c r="E196" s="11"/>
      <c r="F196" s="11"/>
      <c r="G196" s="11" t="s">
        <v>2530</v>
      </c>
      <c r="H196" s="11" t="s">
        <v>2531</v>
      </c>
      <c r="I196" s="11"/>
    </row>
    <row r="197" customFormat="false" ht="15" hidden="false" customHeight="true" outlineLevel="0" collapsed="false">
      <c r="A197" s="11" t="s">
        <v>2532</v>
      </c>
      <c r="B197" s="11" t="s">
        <v>892</v>
      </c>
      <c r="C197" s="11" t="s">
        <v>536</v>
      </c>
      <c r="D197" s="11"/>
      <c r="E197" s="11"/>
      <c r="F197" s="11"/>
      <c r="G197" s="11" t="s">
        <v>892</v>
      </c>
      <c r="H197" s="11" t="s">
        <v>2533</v>
      </c>
      <c r="I197" s="11"/>
    </row>
    <row r="198" customFormat="false" ht="15" hidden="false" customHeight="true" outlineLevel="0" collapsed="false">
      <c r="A198" s="11" t="s">
        <v>2534</v>
      </c>
      <c r="B198" s="11" t="s">
        <v>892</v>
      </c>
      <c r="C198" s="11" t="s">
        <v>536</v>
      </c>
      <c r="D198" s="11"/>
      <c r="E198" s="11"/>
      <c r="F198" s="11"/>
      <c r="G198" s="11" t="s">
        <v>892</v>
      </c>
      <c r="H198" s="11" t="s">
        <v>2535</v>
      </c>
      <c r="I198" s="11"/>
    </row>
    <row r="199" customFormat="false" ht="15" hidden="false" customHeight="true" outlineLevel="0" collapsed="false">
      <c r="A199" s="11" t="s">
        <v>2536</v>
      </c>
      <c r="B199" s="11" t="s">
        <v>892</v>
      </c>
      <c r="C199" s="11" t="s">
        <v>536</v>
      </c>
      <c r="D199" s="11"/>
      <c r="E199" s="11"/>
      <c r="F199" s="11"/>
      <c r="G199" s="11" t="s">
        <v>2537</v>
      </c>
      <c r="H199" s="11" t="s">
        <v>2531</v>
      </c>
      <c r="I199" s="11"/>
    </row>
    <row r="200" customFormat="false" ht="15" hidden="false" customHeight="true" outlineLevel="0" collapsed="false">
      <c r="A200" s="11" t="s">
        <v>2538</v>
      </c>
      <c r="B200" s="11" t="s">
        <v>663</v>
      </c>
      <c r="C200" s="11" t="s">
        <v>414</v>
      </c>
      <c r="D200" s="11" t="s">
        <v>1030</v>
      </c>
      <c r="E200" s="11"/>
      <c r="F200" s="11" t="s">
        <v>1031</v>
      </c>
      <c r="G200" s="11" t="s">
        <v>1032</v>
      </c>
      <c r="H200" s="11" t="s">
        <v>2491</v>
      </c>
      <c r="I200" s="11"/>
      <c r="J200" s="1" t="s">
        <v>31</v>
      </c>
      <c r="K200" s="1" t="n">
        <f aca="false">'Behovsmodell (75p)'!$B$62</f>
        <v>85559</v>
      </c>
      <c r="L200" s="1" t="n">
        <f aca="false">('Behovsmodell (75p)'!$B$62)/12</f>
        <v>7129.91666666667</v>
      </c>
    </row>
    <row r="201" customFormat="false" ht="15" hidden="false" customHeight="true" outlineLevel="0" collapsed="false">
      <c r="A201" s="11" t="s">
        <v>2539</v>
      </c>
      <c r="B201" s="11" t="s">
        <v>663</v>
      </c>
      <c r="C201" s="11" t="s">
        <v>414</v>
      </c>
      <c r="D201" s="11"/>
      <c r="E201" s="11" t="s">
        <v>2540</v>
      </c>
      <c r="F201" s="11"/>
      <c r="G201" s="11" t="s">
        <v>2541</v>
      </c>
      <c r="H201" s="11" t="s">
        <v>2491</v>
      </c>
      <c r="I201" s="11"/>
    </row>
    <row r="202" customFormat="false" ht="15" hidden="false" customHeight="true" outlineLevel="0" collapsed="false">
      <c r="A202" s="11" t="s">
        <v>2542</v>
      </c>
      <c r="B202" s="11" t="s">
        <v>2543</v>
      </c>
      <c r="C202" s="11" t="s">
        <v>414</v>
      </c>
      <c r="D202" s="11" t="s">
        <v>2544</v>
      </c>
      <c r="E202" s="11" t="s">
        <v>2545</v>
      </c>
      <c r="F202" s="11"/>
      <c r="G202" s="11" t="s">
        <v>2546</v>
      </c>
      <c r="H202" s="11" t="s">
        <v>2491</v>
      </c>
      <c r="I202" s="11"/>
    </row>
    <row r="203" customFormat="false" ht="15" hidden="false" customHeight="true" outlineLevel="0" collapsed="false">
      <c r="A203" s="11" t="s">
        <v>2547</v>
      </c>
      <c r="B203" s="11" t="s">
        <v>663</v>
      </c>
      <c r="C203" s="11" t="s">
        <v>414</v>
      </c>
      <c r="D203" s="11" t="s">
        <v>2548</v>
      </c>
      <c r="E203" s="11" t="s">
        <v>2549</v>
      </c>
      <c r="F203" s="11"/>
      <c r="G203" s="11" t="s">
        <v>2550</v>
      </c>
      <c r="H203" s="11" t="s">
        <v>2491</v>
      </c>
      <c r="I203" s="11"/>
    </row>
    <row r="204" customFormat="false" ht="15" hidden="false" customHeight="true" outlineLevel="0" collapsed="false">
      <c r="A204" s="11" t="s">
        <v>2551</v>
      </c>
      <c r="B204" s="11" t="s">
        <v>2552</v>
      </c>
      <c r="C204" s="11" t="s">
        <v>414</v>
      </c>
      <c r="D204" s="11" t="s">
        <v>2553</v>
      </c>
      <c r="E204" s="11"/>
      <c r="F204" s="11"/>
      <c r="G204" s="11" t="s">
        <v>2552</v>
      </c>
      <c r="H204" s="11" t="s">
        <v>2225</v>
      </c>
      <c r="I204" s="11"/>
    </row>
    <row r="205" customFormat="false" ht="15" hidden="false" customHeight="true" outlineLevel="0" collapsed="false">
      <c r="A205" s="11" t="s">
        <v>2554</v>
      </c>
      <c r="B205" s="11" t="s">
        <v>1617</v>
      </c>
      <c r="C205" s="11" t="s">
        <v>414</v>
      </c>
      <c r="D205" s="11" t="s">
        <v>2555</v>
      </c>
      <c r="E205" s="11" t="s">
        <v>2556</v>
      </c>
      <c r="F205" s="11"/>
      <c r="G205" s="11" t="s">
        <v>2557</v>
      </c>
      <c r="H205" s="11" t="s">
        <v>2558</v>
      </c>
      <c r="I205" s="11"/>
    </row>
    <row r="206" customFormat="false" ht="15" hidden="false" customHeight="true" outlineLevel="0" collapsed="false">
      <c r="A206" s="11" t="s">
        <v>2559</v>
      </c>
      <c r="B206" s="11" t="s">
        <v>2560</v>
      </c>
      <c r="C206" s="11" t="s">
        <v>414</v>
      </c>
      <c r="D206" s="11"/>
      <c r="E206" s="11"/>
      <c r="F206" s="11"/>
      <c r="G206" s="11" t="s">
        <v>2561</v>
      </c>
      <c r="H206" s="11" t="s">
        <v>2562</v>
      </c>
      <c r="I206" s="11"/>
    </row>
    <row r="207" customFormat="false" ht="15" hidden="false" customHeight="true" outlineLevel="0" collapsed="false">
      <c r="A207" s="11" t="s">
        <v>2563</v>
      </c>
      <c r="B207" s="11" t="s">
        <v>1617</v>
      </c>
      <c r="C207" s="11" t="s">
        <v>414</v>
      </c>
      <c r="D207" s="11"/>
      <c r="E207" s="11"/>
      <c r="F207" s="11"/>
      <c r="G207" s="11" t="s">
        <v>1617</v>
      </c>
      <c r="H207" s="11" t="s">
        <v>2558</v>
      </c>
      <c r="I207" s="11"/>
    </row>
    <row r="208" customFormat="false" ht="15" hidden="false" customHeight="true" outlineLevel="0" collapsed="false">
      <c r="A208" s="11" t="s">
        <v>2564</v>
      </c>
      <c r="B208" s="11" t="s">
        <v>2565</v>
      </c>
      <c r="C208" s="11" t="s">
        <v>414</v>
      </c>
      <c r="D208" s="11"/>
      <c r="E208" s="11"/>
      <c r="F208" s="11"/>
      <c r="G208" s="11" t="s">
        <v>2565</v>
      </c>
      <c r="H208" s="11" t="s">
        <v>2562</v>
      </c>
      <c r="I208" s="11"/>
    </row>
    <row r="209" customFormat="false" ht="15" hidden="false" customHeight="true" outlineLevel="0" collapsed="false">
      <c r="A209" s="11" t="s">
        <v>2566</v>
      </c>
      <c r="B209" s="11" t="s">
        <v>371</v>
      </c>
      <c r="C209" s="11" t="s">
        <v>414</v>
      </c>
      <c r="D209" s="11"/>
      <c r="E209" s="11"/>
      <c r="F209" s="11"/>
      <c r="G209" s="11" t="s">
        <v>371</v>
      </c>
      <c r="H209" s="11" t="s">
        <v>2562</v>
      </c>
      <c r="I209" s="11"/>
    </row>
    <row r="210" customFormat="false" ht="15" hidden="false" customHeight="true" outlineLevel="0" collapsed="false">
      <c r="A210" s="11" t="s">
        <v>2567</v>
      </c>
      <c r="B210" s="11" t="s">
        <v>2568</v>
      </c>
      <c r="C210" s="11" t="s">
        <v>414</v>
      </c>
      <c r="D210" s="11"/>
      <c r="E210" s="11"/>
      <c r="F210" s="11"/>
      <c r="G210" s="11" t="s">
        <v>2568</v>
      </c>
      <c r="H210" s="11" t="s">
        <v>2562</v>
      </c>
      <c r="I210" s="11"/>
    </row>
    <row r="211" customFormat="false" ht="15" hidden="false" customHeight="true" outlineLevel="0" collapsed="false">
      <c r="A211" s="11" t="s">
        <v>2569</v>
      </c>
      <c r="B211" s="11" t="s">
        <v>666</v>
      </c>
      <c r="C211" s="11" t="s">
        <v>414</v>
      </c>
      <c r="D211" s="11"/>
      <c r="E211" s="11"/>
      <c r="F211" s="11"/>
      <c r="G211" s="11" t="s">
        <v>666</v>
      </c>
      <c r="H211" s="11" t="s">
        <v>2562</v>
      </c>
      <c r="I211" s="11"/>
    </row>
    <row r="212" customFormat="false" ht="15" hidden="false" customHeight="true" outlineLevel="0" collapsed="false">
      <c r="A212" s="11" t="s">
        <v>1098</v>
      </c>
      <c r="B212" s="11" t="s">
        <v>1099</v>
      </c>
      <c r="C212" s="11" t="s">
        <v>414</v>
      </c>
      <c r="D212" s="11"/>
      <c r="E212" s="11"/>
      <c r="F212" s="11"/>
      <c r="G212" s="11" t="s">
        <v>1099</v>
      </c>
      <c r="H212" s="11" t="s">
        <v>2562</v>
      </c>
      <c r="I212" s="11"/>
    </row>
    <row r="213" customFormat="false" ht="15" hidden="false" customHeight="true" outlineLevel="0" collapsed="false">
      <c r="A213" s="11" t="s">
        <v>2570</v>
      </c>
      <c r="B213" s="11" t="s">
        <v>666</v>
      </c>
      <c r="C213" s="11" t="s">
        <v>414</v>
      </c>
      <c r="D213" s="11"/>
      <c r="E213" s="11"/>
      <c r="F213" s="11"/>
      <c r="G213" s="11" t="s">
        <v>1581</v>
      </c>
      <c r="H213" s="11" t="s">
        <v>2562</v>
      </c>
      <c r="I213" s="11"/>
    </row>
    <row r="214" customFormat="false" ht="15" hidden="false" customHeight="true" outlineLevel="0" collapsed="false">
      <c r="A214" s="11" t="s">
        <v>2571</v>
      </c>
      <c r="B214" s="11" t="s">
        <v>2572</v>
      </c>
      <c r="C214" s="11" t="s">
        <v>414</v>
      </c>
      <c r="D214" s="11"/>
      <c r="E214" s="11"/>
      <c r="F214" s="11"/>
      <c r="G214" s="11" t="s">
        <v>2572</v>
      </c>
      <c r="H214" s="11" t="s">
        <v>2562</v>
      </c>
      <c r="I214" s="11"/>
    </row>
    <row r="215" customFormat="false" ht="15" hidden="false" customHeight="true" outlineLevel="0" collapsed="false">
      <c r="A215" s="11" t="s">
        <v>2573</v>
      </c>
      <c r="B215" s="11" t="s">
        <v>663</v>
      </c>
      <c r="C215" s="11" t="s">
        <v>414</v>
      </c>
      <c r="D215" s="11"/>
      <c r="E215" s="11"/>
      <c r="F215" s="11"/>
      <c r="G215" s="11" t="s">
        <v>663</v>
      </c>
      <c r="H215" s="11" t="s">
        <v>2562</v>
      </c>
      <c r="I215" s="11"/>
    </row>
    <row r="216" customFormat="false" ht="15" hidden="false" customHeight="true" outlineLevel="0" collapsed="false">
      <c r="A216" s="11" t="s">
        <v>2574</v>
      </c>
      <c r="B216" s="11" t="s">
        <v>2575</v>
      </c>
      <c r="C216" s="11" t="s">
        <v>414</v>
      </c>
      <c r="D216" s="11"/>
      <c r="E216" s="11" t="s">
        <v>2576</v>
      </c>
      <c r="F216" s="11"/>
      <c r="G216" s="11" t="s">
        <v>2577</v>
      </c>
      <c r="H216" s="11" t="s">
        <v>2558</v>
      </c>
      <c r="I216" s="11"/>
    </row>
    <row r="217" customFormat="false" ht="15" hidden="false" customHeight="true" outlineLevel="0" collapsed="false">
      <c r="A217" s="11" t="s">
        <v>2578</v>
      </c>
      <c r="B217" s="11" t="s">
        <v>936</v>
      </c>
      <c r="C217" s="11" t="s">
        <v>457</v>
      </c>
      <c r="D217" s="11" t="s">
        <v>2579</v>
      </c>
      <c r="E217" s="11" t="s">
        <v>2580</v>
      </c>
      <c r="F217" s="11"/>
      <c r="G217" s="11" t="s">
        <v>2581</v>
      </c>
      <c r="H217" s="11" t="s">
        <v>2582</v>
      </c>
      <c r="I217" s="11"/>
    </row>
    <row r="218" customFormat="false" ht="15" hidden="false" customHeight="true" outlineLevel="0" collapsed="false">
      <c r="A218" s="11" t="s">
        <v>2583</v>
      </c>
      <c r="B218" s="11" t="s">
        <v>2584</v>
      </c>
      <c r="C218" s="11" t="s">
        <v>457</v>
      </c>
      <c r="D218" s="11" t="s">
        <v>2585</v>
      </c>
      <c r="E218" s="11" t="s">
        <v>2586</v>
      </c>
      <c r="F218" s="11"/>
      <c r="G218" s="11" t="s">
        <v>2587</v>
      </c>
      <c r="H218" s="11" t="s">
        <v>2582</v>
      </c>
      <c r="I218" s="11"/>
    </row>
    <row r="219" customFormat="false" ht="15" hidden="false" customHeight="true" outlineLevel="0" collapsed="false">
      <c r="A219" s="11" t="s">
        <v>2588</v>
      </c>
      <c r="B219" s="11" t="s">
        <v>936</v>
      </c>
      <c r="C219" s="11" t="s">
        <v>457</v>
      </c>
      <c r="D219" s="11"/>
      <c r="E219" s="11" t="s">
        <v>2589</v>
      </c>
      <c r="F219" s="11"/>
      <c r="G219" s="11" t="s">
        <v>2590</v>
      </c>
      <c r="H219" s="11" t="s">
        <v>2582</v>
      </c>
      <c r="I219" s="11"/>
    </row>
    <row r="220" customFormat="false" ht="15" hidden="false" customHeight="true" outlineLevel="0" collapsed="false">
      <c r="A220" s="11" t="s">
        <v>2591</v>
      </c>
      <c r="B220" s="11" t="s">
        <v>2592</v>
      </c>
      <c r="C220" s="11" t="s">
        <v>457</v>
      </c>
      <c r="D220" s="11" t="s">
        <v>2593</v>
      </c>
      <c r="E220" s="11" t="s">
        <v>2594</v>
      </c>
      <c r="F220" s="11"/>
      <c r="G220" s="11" t="s">
        <v>2595</v>
      </c>
      <c r="H220" s="11" t="s">
        <v>2582</v>
      </c>
      <c r="I220" s="11"/>
    </row>
    <row r="221" customFormat="false" ht="15" hidden="false" customHeight="true" outlineLevel="0" collapsed="false">
      <c r="A221" s="11" t="s">
        <v>455</v>
      </c>
      <c r="B221" s="11" t="s">
        <v>456</v>
      </c>
      <c r="C221" s="11" t="s">
        <v>457</v>
      </c>
      <c r="D221" s="11" t="s">
        <v>459</v>
      </c>
      <c r="E221" s="11" t="s">
        <v>460</v>
      </c>
      <c r="F221" s="11"/>
      <c r="G221" s="11" t="s">
        <v>461</v>
      </c>
      <c r="H221" s="11" t="s">
        <v>2582</v>
      </c>
      <c r="I221" s="11"/>
    </row>
    <row r="222" customFormat="false" ht="15" hidden="false" customHeight="true" outlineLevel="0" collapsed="false">
      <c r="A222" s="11" t="s">
        <v>2596</v>
      </c>
      <c r="B222" s="11" t="s">
        <v>1936</v>
      </c>
      <c r="C222" s="11" t="s">
        <v>457</v>
      </c>
      <c r="D222" s="11" t="s">
        <v>2597</v>
      </c>
      <c r="E222" s="11" t="s">
        <v>2598</v>
      </c>
      <c r="F222" s="11"/>
      <c r="G222" s="11" t="s">
        <v>2599</v>
      </c>
      <c r="H222" s="11" t="s">
        <v>2582</v>
      </c>
      <c r="I222" s="11"/>
    </row>
    <row r="223" customFormat="false" ht="15" hidden="false" customHeight="true" outlineLevel="0" collapsed="false">
      <c r="A223" s="11" t="s">
        <v>2600</v>
      </c>
      <c r="B223" s="11" t="s">
        <v>1936</v>
      </c>
      <c r="C223" s="11" t="s">
        <v>457</v>
      </c>
      <c r="D223" s="11"/>
      <c r="E223" s="11" t="s">
        <v>2601</v>
      </c>
      <c r="F223" s="11"/>
      <c r="G223" s="11" t="s">
        <v>2602</v>
      </c>
      <c r="H223" s="11" t="s">
        <v>2582</v>
      </c>
      <c r="I223" s="11"/>
    </row>
    <row r="224" customFormat="false" ht="15" hidden="false" customHeight="true" outlineLevel="0" collapsed="false">
      <c r="A224" s="11" t="s">
        <v>2603</v>
      </c>
      <c r="B224" s="11" t="s">
        <v>1936</v>
      </c>
      <c r="C224" s="11" t="s">
        <v>457</v>
      </c>
      <c r="D224" s="11"/>
      <c r="E224" s="11" t="s">
        <v>2604</v>
      </c>
      <c r="F224" s="11"/>
      <c r="G224" s="11" t="s">
        <v>2605</v>
      </c>
      <c r="H224" s="11" t="s">
        <v>2582</v>
      </c>
      <c r="I224" s="11"/>
    </row>
    <row r="225" customFormat="false" ht="15" hidden="false" customHeight="true" outlineLevel="0" collapsed="false">
      <c r="A225" s="11" t="s">
        <v>2606</v>
      </c>
      <c r="B225" s="11" t="s">
        <v>1936</v>
      </c>
      <c r="C225" s="11" t="s">
        <v>457</v>
      </c>
      <c r="D225" s="11" t="s">
        <v>2607</v>
      </c>
      <c r="E225" s="11" t="s">
        <v>2608</v>
      </c>
      <c r="F225" s="11"/>
      <c r="G225" s="11" t="s">
        <v>2609</v>
      </c>
      <c r="H225" s="11" t="s">
        <v>2610</v>
      </c>
      <c r="I225" s="11"/>
    </row>
    <row r="226" customFormat="false" ht="15" hidden="false" customHeight="true" outlineLevel="0" collapsed="false">
      <c r="A226" s="11" t="s">
        <v>2611</v>
      </c>
      <c r="B226" s="11" t="s">
        <v>2612</v>
      </c>
      <c r="C226" s="11" t="s">
        <v>457</v>
      </c>
      <c r="D226" s="11" t="s">
        <v>2613</v>
      </c>
      <c r="E226" s="11" t="s">
        <v>2614</v>
      </c>
      <c r="F226" s="11"/>
      <c r="G226" s="11" t="s">
        <v>2615</v>
      </c>
      <c r="H226" s="11" t="s">
        <v>2582</v>
      </c>
      <c r="I226" s="11"/>
    </row>
    <row r="227" customFormat="false" ht="15" hidden="false" customHeight="true" outlineLevel="0" collapsed="false">
      <c r="A227" s="11" t="s">
        <v>2616</v>
      </c>
      <c r="B227" s="11" t="s">
        <v>2617</v>
      </c>
      <c r="C227" s="11" t="s">
        <v>457</v>
      </c>
      <c r="D227" s="11" t="s">
        <v>2618</v>
      </c>
      <c r="E227" s="11" t="s">
        <v>2619</v>
      </c>
      <c r="F227" s="11"/>
      <c r="G227" s="11" t="s">
        <v>2620</v>
      </c>
      <c r="H227" s="11" t="s">
        <v>2610</v>
      </c>
      <c r="I227" s="11"/>
    </row>
    <row r="228" customFormat="false" ht="15" hidden="false" customHeight="true" outlineLevel="0" collapsed="false">
      <c r="A228" s="11" t="s">
        <v>1676</v>
      </c>
      <c r="B228" s="11" t="s">
        <v>2617</v>
      </c>
      <c r="C228" s="11" t="s">
        <v>457</v>
      </c>
      <c r="D228" s="11" t="s">
        <v>1677</v>
      </c>
      <c r="E228" s="11" t="s">
        <v>1678</v>
      </c>
      <c r="F228" s="11"/>
      <c r="G228" s="11" t="s">
        <v>1679</v>
      </c>
      <c r="H228" s="11" t="s">
        <v>2582</v>
      </c>
      <c r="I228" s="11"/>
    </row>
    <row r="229" customFormat="false" ht="15" hidden="false" customHeight="true" outlineLevel="0" collapsed="false">
      <c r="A229" s="11" t="s">
        <v>2621</v>
      </c>
      <c r="B229" s="11" t="s">
        <v>2622</v>
      </c>
      <c r="C229" s="11" t="s">
        <v>457</v>
      </c>
      <c r="D229" s="11" t="s">
        <v>2623</v>
      </c>
      <c r="E229" s="11" t="s">
        <v>2624</v>
      </c>
      <c r="F229" s="11"/>
      <c r="G229" s="11" t="s">
        <v>2625</v>
      </c>
      <c r="H229" s="11" t="s">
        <v>2582</v>
      </c>
      <c r="I229" s="11"/>
    </row>
    <row r="230" customFormat="false" ht="15" hidden="false" customHeight="true" outlineLevel="0" collapsed="false">
      <c r="A230" s="11" t="s">
        <v>2626</v>
      </c>
      <c r="B230" s="11" t="s">
        <v>2627</v>
      </c>
      <c r="C230" s="11" t="s">
        <v>457</v>
      </c>
      <c r="D230" s="11"/>
      <c r="E230" s="11" t="s">
        <v>2628</v>
      </c>
      <c r="F230" s="11"/>
      <c r="G230" s="11" t="s">
        <v>2629</v>
      </c>
      <c r="H230" s="11" t="s">
        <v>2582</v>
      </c>
      <c r="I230" s="11"/>
    </row>
    <row r="231" customFormat="false" ht="15" hidden="false" customHeight="true" outlineLevel="0" collapsed="false">
      <c r="A231" s="11" t="s">
        <v>2630</v>
      </c>
      <c r="B231" s="11" t="s">
        <v>2631</v>
      </c>
      <c r="C231" s="11" t="s">
        <v>457</v>
      </c>
      <c r="D231" s="11" t="s">
        <v>2632</v>
      </c>
      <c r="E231" s="11" t="s">
        <v>2633</v>
      </c>
      <c r="F231" s="11"/>
      <c r="G231" s="11" t="s">
        <v>2634</v>
      </c>
      <c r="H231" s="11" t="s">
        <v>2582</v>
      </c>
      <c r="I231" s="11"/>
    </row>
    <row r="232" customFormat="false" ht="15" hidden="false" customHeight="true" outlineLevel="0" collapsed="false">
      <c r="A232" s="11" t="s">
        <v>1507</v>
      </c>
      <c r="B232" s="11" t="s">
        <v>2635</v>
      </c>
      <c r="C232" s="11" t="s">
        <v>457</v>
      </c>
      <c r="D232" s="11" t="s">
        <v>1508</v>
      </c>
      <c r="E232" s="11" t="s">
        <v>1509</v>
      </c>
      <c r="F232" s="11"/>
      <c r="G232" s="11" t="s">
        <v>1510</v>
      </c>
      <c r="H232" s="11" t="s">
        <v>2582</v>
      </c>
      <c r="I232" s="11"/>
    </row>
    <row r="233" customFormat="false" ht="15" hidden="false" customHeight="true" outlineLevel="0" collapsed="false">
      <c r="A233" s="11" t="s">
        <v>2636</v>
      </c>
      <c r="B233" s="11" t="s">
        <v>2637</v>
      </c>
      <c r="C233" s="11" t="s">
        <v>457</v>
      </c>
      <c r="D233" s="11" t="s">
        <v>1440</v>
      </c>
      <c r="E233" s="11" t="s">
        <v>1441</v>
      </c>
      <c r="F233" s="11"/>
      <c r="G233" s="11" t="s">
        <v>1442</v>
      </c>
      <c r="H233" s="11" t="s">
        <v>2582</v>
      </c>
      <c r="I233" s="11"/>
    </row>
    <row r="234" customFormat="false" ht="15" hidden="false" customHeight="true" outlineLevel="0" collapsed="false">
      <c r="A234" s="11" t="s">
        <v>2638</v>
      </c>
      <c r="B234" s="11" t="s">
        <v>2639</v>
      </c>
      <c r="C234" s="11" t="s">
        <v>457</v>
      </c>
      <c r="D234" s="11"/>
      <c r="E234" s="11" t="s">
        <v>2640</v>
      </c>
      <c r="F234" s="11"/>
      <c r="G234" s="11" t="s">
        <v>2641</v>
      </c>
      <c r="H234" s="11" t="s">
        <v>2582</v>
      </c>
      <c r="I234" s="11"/>
    </row>
    <row r="235" customFormat="false" ht="15" hidden="false" customHeight="true" outlineLevel="0" collapsed="false">
      <c r="A235" s="11" t="s">
        <v>2642</v>
      </c>
      <c r="B235" s="11" t="s">
        <v>2639</v>
      </c>
      <c r="C235" s="11" t="s">
        <v>457</v>
      </c>
      <c r="D235" s="11" t="s">
        <v>2643</v>
      </c>
      <c r="E235" s="11" t="s">
        <v>2644</v>
      </c>
      <c r="F235" s="11"/>
      <c r="G235" s="11" t="s">
        <v>2645</v>
      </c>
      <c r="H235" s="11" t="s">
        <v>2491</v>
      </c>
      <c r="I235" s="11"/>
    </row>
    <row r="236" customFormat="false" ht="15" hidden="false" customHeight="true" outlineLevel="0" collapsed="false">
      <c r="A236" s="11" t="s">
        <v>2646</v>
      </c>
      <c r="B236" s="11" t="s">
        <v>2647</v>
      </c>
      <c r="C236" s="11" t="s">
        <v>457</v>
      </c>
      <c r="D236" s="11"/>
      <c r="E236" s="11" t="s">
        <v>2648</v>
      </c>
      <c r="F236" s="11"/>
      <c r="G236" s="11" t="s">
        <v>2649</v>
      </c>
      <c r="H236" s="11" t="s">
        <v>2582</v>
      </c>
      <c r="I236" s="11"/>
    </row>
    <row r="237" customFormat="false" ht="15" hidden="false" customHeight="true" outlineLevel="0" collapsed="false">
      <c r="A237" s="11" t="s">
        <v>2650</v>
      </c>
      <c r="B237" s="11" t="s">
        <v>2651</v>
      </c>
      <c r="C237" s="11" t="s">
        <v>597</v>
      </c>
      <c r="D237" s="11"/>
      <c r="E237" s="11" t="s">
        <v>2652</v>
      </c>
      <c r="F237" s="11"/>
      <c r="G237" s="11" t="s">
        <v>2653</v>
      </c>
      <c r="H237" s="11" t="s">
        <v>2346</v>
      </c>
      <c r="I237" s="11"/>
    </row>
    <row r="238" customFormat="false" ht="15" hidden="false" customHeight="true" outlineLevel="0" collapsed="false">
      <c r="A238" s="11" t="s">
        <v>2654</v>
      </c>
      <c r="B238" s="11" t="s">
        <v>2651</v>
      </c>
      <c r="C238" s="11" t="s">
        <v>597</v>
      </c>
      <c r="D238" s="11" t="s">
        <v>2655</v>
      </c>
      <c r="E238" s="11" t="s">
        <v>2656</v>
      </c>
      <c r="F238" s="11" t="s">
        <v>2657</v>
      </c>
      <c r="G238" s="11" t="s">
        <v>2658</v>
      </c>
      <c r="H238" s="11" t="s">
        <v>2491</v>
      </c>
      <c r="I238" s="11"/>
    </row>
    <row r="239" customFormat="false" ht="15" hidden="false" customHeight="true" outlineLevel="0" collapsed="false">
      <c r="A239" s="11" t="s">
        <v>2659</v>
      </c>
      <c r="B239" s="11" t="s">
        <v>2660</v>
      </c>
      <c r="C239" s="11" t="s">
        <v>597</v>
      </c>
      <c r="D239" s="11" t="s">
        <v>2661</v>
      </c>
      <c r="E239" s="11" t="s">
        <v>2662</v>
      </c>
      <c r="F239" s="11"/>
      <c r="G239" s="11" t="s">
        <v>2663</v>
      </c>
      <c r="H239" s="11" t="s">
        <v>2491</v>
      </c>
      <c r="I239" s="11"/>
    </row>
    <row r="240" customFormat="false" ht="15" hidden="false" customHeight="true" outlineLevel="0" collapsed="false">
      <c r="A240" s="11" t="s">
        <v>2664</v>
      </c>
      <c r="B240" s="11" t="s">
        <v>2665</v>
      </c>
      <c r="C240" s="11" t="s">
        <v>597</v>
      </c>
      <c r="D240" s="11" t="s">
        <v>2666</v>
      </c>
      <c r="E240" s="11" t="s">
        <v>2667</v>
      </c>
      <c r="F240" s="11"/>
      <c r="G240" s="11" t="s">
        <v>2668</v>
      </c>
      <c r="H240" s="11" t="s">
        <v>2491</v>
      </c>
      <c r="I240" s="11"/>
    </row>
    <row r="241" customFormat="false" ht="15" hidden="false" customHeight="true" outlineLevel="0" collapsed="false">
      <c r="A241" s="11" t="s">
        <v>2669</v>
      </c>
      <c r="B241" s="11" t="s">
        <v>2670</v>
      </c>
      <c r="C241" s="11" t="s">
        <v>597</v>
      </c>
      <c r="D241" s="11" t="s">
        <v>2671</v>
      </c>
      <c r="E241" s="11"/>
      <c r="F241" s="11"/>
      <c r="G241" s="11" t="s">
        <v>2672</v>
      </c>
      <c r="H241" s="11" t="s">
        <v>2225</v>
      </c>
      <c r="I241" s="11"/>
    </row>
    <row r="242" customFormat="false" ht="15" hidden="false" customHeight="true" outlineLevel="0" collapsed="false">
      <c r="A242" s="11" t="s">
        <v>2673</v>
      </c>
      <c r="B242" s="11" t="s">
        <v>2674</v>
      </c>
      <c r="C242" s="11" t="s">
        <v>597</v>
      </c>
      <c r="D242" s="11"/>
      <c r="E242" s="11"/>
      <c r="F242" s="11"/>
      <c r="G242" s="11" t="s">
        <v>2675</v>
      </c>
      <c r="H242" s="11" t="s">
        <v>2346</v>
      </c>
      <c r="I242" s="11"/>
    </row>
    <row r="243" customFormat="false" ht="15" hidden="false" customHeight="true" outlineLevel="0" collapsed="false">
      <c r="A243" s="11" t="s">
        <v>1173</v>
      </c>
      <c r="B243" s="11" t="s">
        <v>597</v>
      </c>
      <c r="C243" s="11" t="s">
        <v>597</v>
      </c>
      <c r="D243" s="11"/>
      <c r="E243" s="11"/>
      <c r="F243" s="11"/>
      <c r="G243" s="11" t="s">
        <v>1176</v>
      </c>
      <c r="H243" s="11" t="s">
        <v>2676</v>
      </c>
      <c r="I243" s="11"/>
    </row>
    <row r="244" customFormat="false" ht="15" hidden="false" customHeight="true" outlineLevel="0" collapsed="false">
      <c r="A244" s="11" t="s">
        <v>698</v>
      </c>
      <c r="B244" s="11" t="s">
        <v>699</v>
      </c>
      <c r="C244" s="11" t="s">
        <v>597</v>
      </c>
      <c r="D244" s="11"/>
      <c r="E244" s="11"/>
      <c r="F244" s="11"/>
      <c r="G244" s="11" t="s">
        <v>699</v>
      </c>
      <c r="H244" s="11" t="s">
        <v>2231</v>
      </c>
      <c r="I244" s="11"/>
    </row>
    <row r="245" customFormat="false" ht="15" hidden="false" customHeight="true" outlineLevel="0" collapsed="false">
      <c r="A245" s="11" t="s">
        <v>2677</v>
      </c>
      <c r="B245" s="11" t="s">
        <v>2678</v>
      </c>
      <c r="C245" s="11" t="s">
        <v>597</v>
      </c>
      <c r="D245" s="11"/>
      <c r="E245" s="11"/>
      <c r="F245" s="11"/>
      <c r="G245" s="11" t="s">
        <v>1176</v>
      </c>
      <c r="H245" s="11" t="s">
        <v>2346</v>
      </c>
      <c r="I245" s="11" t="s">
        <v>2679</v>
      </c>
    </row>
    <row r="246" customFormat="false" ht="15" hidden="false" customHeight="true" outlineLevel="0" collapsed="false">
      <c r="A246" s="11" t="s">
        <v>1181</v>
      </c>
      <c r="B246" s="11" t="s">
        <v>380</v>
      </c>
      <c r="C246" s="11" t="s">
        <v>381</v>
      </c>
      <c r="D246" s="11" t="s">
        <v>1182</v>
      </c>
      <c r="E246" s="11" t="s">
        <v>1183</v>
      </c>
      <c r="F246" s="11" t="s">
        <v>1184</v>
      </c>
      <c r="G246" s="11" t="s">
        <v>1185</v>
      </c>
      <c r="H246" s="11" t="s">
        <v>2327</v>
      </c>
      <c r="I246" s="11"/>
    </row>
    <row r="247" customFormat="false" ht="15" hidden="false" customHeight="true" outlineLevel="0" collapsed="false">
      <c r="A247" s="11" t="s">
        <v>2680</v>
      </c>
      <c r="B247" s="11" t="s">
        <v>1296</v>
      </c>
      <c r="C247" s="11" t="s">
        <v>381</v>
      </c>
      <c r="D247" s="11" t="s">
        <v>2681</v>
      </c>
      <c r="E247" s="11" t="s">
        <v>2682</v>
      </c>
      <c r="F247" s="11"/>
      <c r="G247" s="11" t="s">
        <v>2683</v>
      </c>
      <c r="H247" s="11" t="s">
        <v>2491</v>
      </c>
      <c r="I247" s="11"/>
    </row>
    <row r="248" customFormat="false" ht="15" hidden="false" customHeight="true" outlineLevel="0" collapsed="false">
      <c r="A248" s="11" t="s">
        <v>2684</v>
      </c>
      <c r="B248" s="11" t="s">
        <v>2685</v>
      </c>
      <c r="C248" s="11" t="s">
        <v>381</v>
      </c>
      <c r="D248" s="11" t="s">
        <v>2686</v>
      </c>
      <c r="E248" s="11" t="s">
        <v>2687</v>
      </c>
      <c r="F248" s="11"/>
      <c r="G248" s="11" t="s">
        <v>2688</v>
      </c>
      <c r="H248" s="11" t="s">
        <v>2491</v>
      </c>
      <c r="I248" s="11"/>
    </row>
    <row r="249" customFormat="false" ht="15" hidden="false" customHeight="true" outlineLevel="0" collapsed="false">
      <c r="A249" s="11" t="s">
        <v>990</v>
      </c>
      <c r="B249" s="11" t="s">
        <v>860</v>
      </c>
      <c r="C249" s="11" t="s">
        <v>381</v>
      </c>
      <c r="D249" s="11" t="s">
        <v>991</v>
      </c>
      <c r="E249" s="11" t="s">
        <v>992</v>
      </c>
      <c r="F249" s="11"/>
      <c r="G249" s="11" t="s">
        <v>993</v>
      </c>
      <c r="H249" s="11" t="s">
        <v>2491</v>
      </c>
      <c r="I249" s="11"/>
      <c r="J249" s="1" t="s">
        <v>31</v>
      </c>
      <c r="K249" s="1" t="n">
        <f aca="false">'Behovsmodell (75p)'!$B$62</f>
        <v>85559</v>
      </c>
      <c r="L249" s="1" t="n">
        <f aca="false">('Behovsmodell (75p)'!$B$62)/12</f>
        <v>7129.91666666667</v>
      </c>
    </row>
    <row r="250" customFormat="false" ht="15" hidden="false" customHeight="true" outlineLevel="0" collapsed="false">
      <c r="A250" s="11" t="s">
        <v>2689</v>
      </c>
      <c r="B250" s="11" t="s">
        <v>2690</v>
      </c>
      <c r="C250" s="11" t="s">
        <v>381</v>
      </c>
      <c r="D250" s="11"/>
      <c r="E250" s="11"/>
      <c r="F250" s="11"/>
      <c r="G250" s="11" t="s">
        <v>1298</v>
      </c>
      <c r="H250" s="11" t="s">
        <v>2691</v>
      </c>
      <c r="I250" s="11"/>
    </row>
    <row r="251" customFormat="false" ht="15" hidden="false" customHeight="true" outlineLevel="0" collapsed="false">
      <c r="A251" s="11" t="s">
        <v>2692</v>
      </c>
      <c r="B251" s="11" t="s">
        <v>381</v>
      </c>
      <c r="C251" s="11" t="s">
        <v>381</v>
      </c>
      <c r="D251" s="11"/>
      <c r="E251" s="11"/>
      <c r="F251" s="11"/>
      <c r="G251" s="11" t="s">
        <v>381</v>
      </c>
      <c r="H251" s="11" t="s">
        <v>2691</v>
      </c>
      <c r="I251" s="11"/>
    </row>
    <row r="252" customFormat="false" ht="15" hidden="false" customHeight="true" outlineLevel="0" collapsed="false">
      <c r="A252" s="11" t="s">
        <v>2693</v>
      </c>
      <c r="B252" s="11" t="s">
        <v>2694</v>
      </c>
      <c r="C252" s="11" t="s">
        <v>381</v>
      </c>
      <c r="D252" s="11"/>
      <c r="E252" s="11"/>
      <c r="F252" s="11"/>
      <c r="G252" s="11" t="s">
        <v>2695</v>
      </c>
      <c r="H252" s="11" t="s">
        <v>2691</v>
      </c>
      <c r="I252" s="11"/>
    </row>
    <row r="253" customFormat="false" ht="15" hidden="false" customHeight="true" outlineLevel="0" collapsed="false">
      <c r="A253" s="11" t="s">
        <v>2696</v>
      </c>
      <c r="B253" s="11" t="s">
        <v>2697</v>
      </c>
      <c r="C253" s="11" t="s">
        <v>381</v>
      </c>
      <c r="D253" s="11"/>
      <c r="E253" s="11"/>
      <c r="F253" s="11"/>
      <c r="G253" s="11" t="s">
        <v>381</v>
      </c>
      <c r="H253" s="11" t="s">
        <v>2691</v>
      </c>
      <c r="I253" s="11"/>
    </row>
    <row r="254" customFormat="false" ht="15" hidden="false" customHeight="true" outlineLevel="0" collapsed="false">
      <c r="A254" s="11" t="s">
        <v>2698</v>
      </c>
      <c r="B254" s="11" t="s">
        <v>2699</v>
      </c>
      <c r="C254" s="11" t="s">
        <v>381</v>
      </c>
      <c r="D254" s="11"/>
      <c r="E254" s="11"/>
      <c r="F254" s="11"/>
      <c r="G254" s="11" t="s">
        <v>2700</v>
      </c>
      <c r="H254" s="11" t="s">
        <v>2691</v>
      </c>
      <c r="I254" s="11"/>
    </row>
    <row r="255" customFormat="false" ht="15" hidden="false" customHeight="true" outlineLevel="0" collapsed="false">
      <c r="A255" s="11" t="s">
        <v>2701</v>
      </c>
      <c r="B255" s="11" t="s">
        <v>2697</v>
      </c>
      <c r="C255" s="11" t="s">
        <v>381</v>
      </c>
      <c r="D255" s="11"/>
      <c r="E255" s="11"/>
      <c r="F255" s="11"/>
      <c r="G255" s="11" t="s">
        <v>381</v>
      </c>
      <c r="H255" s="11" t="s">
        <v>2691</v>
      </c>
      <c r="I255" s="11"/>
    </row>
    <row r="256" customFormat="false" ht="15" hidden="false" customHeight="true" outlineLevel="0" collapsed="false">
      <c r="A256" s="11" t="s">
        <v>1701</v>
      </c>
      <c r="B256" s="11" t="s">
        <v>2702</v>
      </c>
      <c r="C256" s="11" t="s">
        <v>381</v>
      </c>
      <c r="D256" s="11"/>
      <c r="E256" s="11"/>
      <c r="F256" s="11"/>
      <c r="G256" s="11" t="s">
        <v>1702</v>
      </c>
      <c r="H256" s="11" t="s">
        <v>2691</v>
      </c>
      <c r="I256" s="11"/>
      <c r="J256" s="1" t="s">
        <v>68</v>
      </c>
      <c r="K256" s="1" t="n">
        <f aca="false">'Behovsmodell (75p)'!$B$66</f>
        <v>206427.05</v>
      </c>
      <c r="L256" s="1" t="n">
        <f aca="false">('Behovsmodell (75p)'!$B$66)/12</f>
        <v>17202.2541666667</v>
      </c>
    </row>
    <row r="257" customFormat="false" ht="15" hidden="false" customHeight="true" outlineLevel="0" collapsed="false">
      <c r="A257" s="11" t="s">
        <v>2703</v>
      </c>
      <c r="B257" s="11" t="s">
        <v>2704</v>
      </c>
      <c r="C257" s="11" t="s">
        <v>381</v>
      </c>
      <c r="D257" s="11"/>
      <c r="E257" s="11"/>
      <c r="F257" s="11"/>
      <c r="G257" s="11" t="s">
        <v>2705</v>
      </c>
      <c r="H257" s="11" t="s">
        <v>2691</v>
      </c>
      <c r="I257" s="11"/>
    </row>
    <row r="258" customFormat="false" ht="15" hidden="false" customHeight="true" outlineLevel="0" collapsed="false">
      <c r="A258" s="11" t="s">
        <v>2706</v>
      </c>
      <c r="B258" s="11" t="s">
        <v>381</v>
      </c>
      <c r="C258" s="11" t="s">
        <v>381</v>
      </c>
      <c r="D258" s="11"/>
      <c r="E258" s="11"/>
      <c r="F258" s="11"/>
      <c r="G258" s="11" t="s">
        <v>909</v>
      </c>
      <c r="H258" s="11" t="s">
        <v>2691</v>
      </c>
      <c r="I258" s="11"/>
    </row>
    <row r="259" customFormat="false" ht="15" hidden="false" customHeight="true" outlineLevel="0" collapsed="false">
      <c r="A259" s="11" t="s">
        <v>2707</v>
      </c>
      <c r="B259" s="11" t="s">
        <v>2708</v>
      </c>
      <c r="C259" s="11" t="s">
        <v>381</v>
      </c>
      <c r="D259" s="11"/>
      <c r="E259" s="11"/>
      <c r="F259" s="11"/>
      <c r="G259" s="11" t="s">
        <v>2709</v>
      </c>
      <c r="H259" s="11" t="s">
        <v>2691</v>
      </c>
      <c r="I259" s="11"/>
    </row>
    <row r="260" customFormat="false" ht="15" hidden="false" customHeight="true" outlineLevel="0" collapsed="false">
      <c r="A260" s="11" t="s">
        <v>2710</v>
      </c>
      <c r="B260" s="11" t="s">
        <v>381</v>
      </c>
      <c r="C260" s="11" t="s">
        <v>381</v>
      </c>
      <c r="D260" s="11"/>
      <c r="E260" s="11"/>
      <c r="F260" s="11"/>
      <c r="G260" s="11" t="s">
        <v>381</v>
      </c>
      <c r="H260" s="11" t="s">
        <v>2691</v>
      </c>
      <c r="I260" s="11"/>
    </row>
    <row r="261" customFormat="false" ht="15" hidden="false" customHeight="true" outlineLevel="0" collapsed="false">
      <c r="A261" s="11" t="s">
        <v>2711</v>
      </c>
      <c r="B261" s="11" t="s">
        <v>2697</v>
      </c>
      <c r="C261" s="11" t="s">
        <v>381</v>
      </c>
      <c r="D261" s="11"/>
      <c r="E261" s="11"/>
      <c r="F261" s="11"/>
      <c r="G261" s="11" t="s">
        <v>381</v>
      </c>
      <c r="H261" s="11" t="s">
        <v>2691</v>
      </c>
      <c r="I261" s="11"/>
    </row>
    <row r="262" customFormat="false" ht="15" hidden="false" customHeight="true" outlineLevel="0" collapsed="false">
      <c r="A262" s="11" t="s">
        <v>2712</v>
      </c>
      <c r="B262" s="11" t="s">
        <v>2713</v>
      </c>
      <c r="C262" s="11" t="s">
        <v>403</v>
      </c>
      <c r="D262" s="11" t="s">
        <v>2714</v>
      </c>
      <c r="E262" s="11"/>
      <c r="F262" s="11"/>
      <c r="G262" s="11" t="s">
        <v>2715</v>
      </c>
      <c r="H262" s="11" t="s">
        <v>2225</v>
      </c>
      <c r="I262" s="11"/>
    </row>
    <row r="263" customFormat="false" ht="15" hidden="false" customHeight="true" outlineLevel="0" collapsed="false">
      <c r="A263" s="11" t="s">
        <v>2716</v>
      </c>
      <c r="B263" s="11" t="s">
        <v>2717</v>
      </c>
      <c r="C263" s="11" t="s">
        <v>403</v>
      </c>
      <c r="D263" s="11"/>
      <c r="E263" s="11"/>
      <c r="F263" s="11"/>
      <c r="G263" s="11" t="s">
        <v>2718</v>
      </c>
      <c r="H263" s="11" t="s">
        <v>2719</v>
      </c>
      <c r="I263" s="11"/>
    </row>
    <row r="264" customFormat="false" ht="15" hidden="false" customHeight="true" outlineLevel="0" collapsed="false">
      <c r="A264" s="11" t="s">
        <v>2720</v>
      </c>
      <c r="B264" s="11" t="s">
        <v>2721</v>
      </c>
      <c r="C264" s="11" t="s">
        <v>403</v>
      </c>
      <c r="D264" s="11" t="s">
        <v>1346</v>
      </c>
      <c r="E264" s="11" t="s">
        <v>1347</v>
      </c>
      <c r="F264" s="11" t="s">
        <v>1348</v>
      </c>
      <c r="G264" s="11" t="s">
        <v>1349</v>
      </c>
      <c r="H264" s="11" t="s">
        <v>2722</v>
      </c>
      <c r="I264" s="11"/>
    </row>
    <row r="265" customFormat="false" ht="15" hidden="false" customHeight="true" outlineLevel="0" collapsed="false">
      <c r="A265" s="11" t="s">
        <v>2723</v>
      </c>
      <c r="B265" s="11" t="s">
        <v>2724</v>
      </c>
      <c r="C265" s="11" t="s">
        <v>403</v>
      </c>
      <c r="D265" s="11" t="s">
        <v>2725</v>
      </c>
      <c r="E265" s="11" t="s">
        <v>2726</v>
      </c>
      <c r="F265" s="11" t="s">
        <v>2727</v>
      </c>
      <c r="G265" s="11" t="s">
        <v>2728</v>
      </c>
      <c r="H265" s="11" t="s">
        <v>2225</v>
      </c>
      <c r="I265" s="11"/>
    </row>
    <row r="266" customFormat="false" ht="15" hidden="false" customHeight="true" outlineLevel="0" collapsed="false">
      <c r="A266" s="11" t="s">
        <v>2729</v>
      </c>
      <c r="B266" s="11" t="s">
        <v>2730</v>
      </c>
      <c r="C266" s="11" t="s">
        <v>403</v>
      </c>
      <c r="D266" s="11"/>
      <c r="E266" s="11" t="s">
        <v>2731</v>
      </c>
      <c r="F266" s="11"/>
      <c r="G266" s="11" t="s">
        <v>2732</v>
      </c>
      <c r="H266" s="11" t="s">
        <v>2733</v>
      </c>
      <c r="I266" s="11"/>
    </row>
    <row r="267" customFormat="false" ht="15" hidden="false" customHeight="true" outlineLevel="0" collapsed="false">
      <c r="A267" s="11" t="s">
        <v>2734</v>
      </c>
      <c r="B267" s="11" t="s">
        <v>2735</v>
      </c>
      <c r="C267" s="11" t="s">
        <v>403</v>
      </c>
      <c r="D267" s="11"/>
      <c r="E267" s="11"/>
      <c r="F267" s="11"/>
      <c r="G267" s="11" t="s">
        <v>2736</v>
      </c>
      <c r="H267" s="11" t="s">
        <v>2346</v>
      </c>
      <c r="I267" s="11"/>
    </row>
    <row r="268" customFormat="false" ht="15" hidden="false" customHeight="true" outlineLevel="0" collapsed="false">
      <c r="A268" s="11" t="s">
        <v>2737</v>
      </c>
      <c r="B268" s="11" t="s">
        <v>2738</v>
      </c>
      <c r="C268" s="11" t="s">
        <v>403</v>
      </c>
      <c r="D268" s="11" t="s">
        <v>2739</v>
      </c>
      <c r="E268" s="11" t="s">
        <v>2740</v>
      </c>
      <c r="F268" s="11"/>
      <c r="G268" s="11" t="s">
        <v>2741</v>
      </c>
      <c r="H268" s="11" t="s">
        <v>2733</v>
      </c>
      <c r="I268" s="11"/>
    </row>
    <row r="269" customFormat="false" ht="15" hidden="false" customHeight="true" outlineLevel="0" collapsed="false">
      <c r="A269" s="11" t="s">
        <v>2742</v>
      </c>
      <c r="B269" s="11" t="s">
        <v>2743</v>
      </c>
      <c r="C269" s="11" t="s">
        <v>403</v>
      </c>
      <c r="D269" s="11" t="s">
        <v>2744</v>
      </c>
      <c r="E269" s="11" t="s">
        <v>2745</v>
      </c>
      <c r="F269" s="11" t="s">
        <v>2746</v>
      </c>
      <c r="G269" s="11" t="s">
        <v>2747</v>
      </c>
      <c r="H269" s="11" t="s">
        <v>2744</v>
      </c>
      <c r="I269" s="11"/>
    </row>
    <row r="270" customFormat="false" ht="15" hidden="false" customHeight="true" outlineLevel="0" collapsed="false">
      <c r="A270" s="11" t="s">
        <v>2748</v>
      </c>
      <c r="B270" s="11" t="s">
        <v>2749</v>
      </c>
      <c r="C270" s="11" t="s">
        <v>403</v>
      </c>
      <c r="D270" s="11" t="s">
        <v>2750</v>
      </c>
      <c r="E270" s="11" t="s">
        <v>2751</v>
      </c>
      <c r="F270" s="11" t="s">
        <v>2752</v>
      </c>
      <c r="G270" s="11" t="s">
        <v>2753</v>
      </c>
      <c r="H270" s="11" t="s">
        <v>2225</v>
      </c>
      <c r="I270" s="11"/>
    </row>
    <row r="271" customFormat="false" ht="15" hidden="false" customHeight="true" outlineLevel="0" collapsed="false">
      <c r="A271" s="11" t="s">
        <v>2754</v>
      </c>
      <c r="B271" s="11" t="s">
        <v>2755</v>
      </c>
      <c r="C271" s="11" t="s">
        <v>403</v>
      </c>
      <c r="D271" s="11" t="s">
        <v>2756</v>
      </c>
      <c r="E271" s="11" t="s">
        <v>2757</v>
      </c>
      <c r="F271" s="11" t="s">
        <v>2758</v>
      </c>
      <c r="G271" s="11" t="s">
        <v>2759</v>
      </c>
      <c r="H271" s="11" t="s">
        <v>2327</v>
      </c>
      <c r="I271" s="11" t="s">
        <v>2760</v>
      </c>
    </row>
    <row r="272" customFormat="false" ht="15" hidden="false" customHeight="true" outlineLevel="0" collapsed="false">
      <c r="A272" s="11" t="s">
        <v>2761</v>
      </c>
      <c r="B272" s="11" t="s">
        <v>2762</v>
      </c>
      <c r="C272" s="11" t="s">
        <v>403</v>
      </c>
      <c r="D272" s="11" t="s">
        <v>2763</v>
      </c>
      <c r="E272" s="11"/>
      <c r="F272" s="11"/>
      <c r="G272" s="11" t="s">
        <v>2762</v>
      </c>
      <c r="H272" s="11" t="s">
        <v>2719</v>
      </c>
      <c r="I272" s="11"/>
    </row>
    <row r="273" customFormat="false" ht="15" hidden="false" customHeight="true" outlineLevel="0" collapsed="false">
      <c r="A273" s="11" t="s">
        <v>2764</v>
      </c>
      <c r="B273" s="11" t="s">
        <v>2765</v>
      </c>
      <c r="C273" s="11" t="s">
        <v>403</v>
      </c>
      <c r="D273" s="11" t="s">
        <v>951</v>
      </c>
      <c r="E273" s="11" t="s">
        <v>952</v>
      </c>
      <c r="F273" s="11" t="s">
        <v>953</v>
      </c>
      <c r="G273" s="11" t="s">
        <v>954</v>
      </c>
      <c r="H273" s="11" t="s">
        <v>2225</v>
      </c>
      <c r="I273" s="11"/>
    </row>
    <row r="274" customFormat="false" ht="15" hidden="false" customHeight="true" outlineLevel="0" collapsed="false">
      <c r="A274" s="11" t="s">
        <v>2766</v>
      </c>
      <c r="B274" s="11" t="s">
        <v>1954</v>
      </c>
      <c r="C274" s="11" t="s">
        <v>403</v>
      </c>
      <c r="D274" s="11" t="s">
        <v>400</v>
      </c>
      <c r="E274" s="11" t="s">
        <v>401</v>
      </c>
      <c r="F274" s="11"/>
      <c r="G274" s="11" t="s">
        <v>402</v>
      </c>
      <c r="H274" s="11" t="s">
        <v>2767</v>
      </c>
      <c r="I274" s="11"/>
    </row>
    <row r="275" customFormat="false" ht="15" hidden="false" customHeight="true" outlineLevel="0" collapsed="false">
      <c r="A275" s="11" t="s">
        <v>2768</v>
      </c>
      <c r="B275" s="11" t="s">
        <v>2769</v>
      </c>
      <c r="C275" s="11" t="s">
        <v>403</v>
      </c>
      <c r="D275" s="11"/>
      <c r="E275" s="11"/>
      <c r="F275" s="11"/>
      <c r="G275" s="11" t="s">
        <v>2770</v>
      </c>
      <c r="H275" s="11" t="s">
        <v>2771</v>
      </c>
      <c r="I275" s="11"/>
    </row>
    <row r="276" customFormat="false" ht="15" hidden="false" customHeight="true" outlineLevel="0" collapsed="false">
      <c r="A276" s="11" t="s">
        <v>2772</v>
      </c>
      <c r="B276" s="11" t="s">
        <v>2773</v>
      </c>
      <c r="C276" s="11" t="s">
        <v>403</v>
      </c>
      <c r="D276" s="11" t="s">
        <v>1085</v>
      </c>
      <c r="E276" s="11" t="s">
        <v>1086</v>
      </c>
      <c r="F276" s="11"/>
      <c r="G276" s="11" t="s">
        <v>1087</v>
      </c>
      <c r="H276" s="11" t="s">
        <v>2774</v>
      </c>
      <c r="I276" s="11" t="s">
        <v>2775</v>
      </c>
    </row>
    <row r="277" customFormat="false" ht="15" hidden="false" customHeight="true" outlineLevel="0" collapsed="false">
      <c r="A277" s="11" t="s">
        <v>2776</v>
      </c>
      <c r="B277" s="11" t="s">
        <v>388</v>
      </c>
      <c r="C277" s="11" t="s">
        <v>388</v>
      </c>
      <c r="D277" s="11" t="s">
        <v>2777</v>
      </c>
      <c r="E277" s="11"/>
      <c r="F277" s="11" t="s">
        <v>2778</v>
      </c>
      <c r="G277" s="11" t="s">
        <v>2779</v>
      </c>
      <c r="H277" s="11" t="s">
        <v>2491</v>
      </c>
      <c r="I277" s="11"/>
    </row>
    <row r="278" customFormat="false" ht="15" hidden="false" customHeight="true" outlineLevel="0" collapsed="false">
      <c r="A278" s="11" t="s">
        <v>2780</v>
      </c>
      <c r="B278" s="11" t="s">
        <v>2781</v>
      </c>
      <c r="C278" s="11" t="s">
        <v>388</v>
      </c>
      <c r="D278" s="11" t="s">
        <v>958</v>
      </c>
      <c r="E278" s="11" t="s">
        <v>959</v>
      </c>
      <c r="F278" s="11"/>
      <c r="G278" s="11" t="s">
        <v>960</v>
      </c>
      <c r="H278" s="11" t="s">
        <v>2491</v>
      </c>
      <c r="I278" s="11"/>
    </row>
    <row r="279" customFormat="false" ht="15" hidden="false" customHeight="true" outlineLevel="0" collapsed="false">
      <c r="A279" s="11" t="s">
        <v>2782</v>
      </c>
      <c r="B279" s="11" t="s">
        <v>2783</v>
      </c>
      <c r="C279" s="11" t="s">
        <v>388</v>
      </c>
      <c r="D279" s="11"/>
      <c r="E279" s="11" t="s">
        <v>2784</v>
      </c>
      <c r="F279" s="11"/>
      <c r="G279" s="11" t="s">
        <v>2785</v>
      </c>
      <c r="H279" s="11" t="s">
        <v>2491</v>
      </c>
      <c r="I279" s="11"/>
    </row>
    <row r="280" customFormat="false" ht="15" hidden="false" customHeight="true" outlineLevel="0" collapsed="false">
      <c r="A280" s="11" t="s">
        <v>2786</v>
      </c>
      <c r="B280" s="11" t="s">
        <v>2787</v>
      </c>
      <c r="C280" s="11" t="s">
        <v>388</v>
      </c>
      <c r="D280" s="11" t="s">
        <v>2788</v>
      </c>
      <c r="E280" s="11" t="s">
        <v>2789</v>
      </c>
      <c r="F280" s="11"/>
      <c r="G280" s="11" t="s">
        <v>2790</v>
      </c>
      <c r="H280" s="11" t="s">
        <v>2491</v>
      </c>
      <c r="I280" s="11"/>
    </row>
    <row r="281" customFormat="false" ht="15" hidden="false" customHeight="true" outlineLevel="0" collapsed="false">
      <c r="A281" s="11" t="s">
        <v>2791</v>
      </c>
      <c r="B281" s="11" t="s">
        <v>2792</v>
      </c>
      <c r="C281" s="11" t="s">
        <v>388</v>
      </c>
      <c r="D281" s="11" t="s">
        <v>1412</v>
      </c>
      <c r="E281" s="11" t="s">
        <v>1413</v>
      </c>
      <c r="F281" s="11"/>
      <c r="G281" s="11" t="s">
        <v>1414</v>
      </c>
      <c r="H281" s="11" t="s">
        <v>2491</v>
      </c>
      <c r="I281" s="11"/>
    </row>
    <row r="282" customFormat="false" ht="15" hidden="false" customHeight="true" outlineLevel="0" collapsed="false">
      <c r="A282" s="11" t="s">
        <v>2793</v>
      </c>
      <c r="B282" s="11" t="s">
        <v>2794</v>
      </c>
      <c r="C282" s="11" t="s">
        <v>388</v>
      </c>
      <c r="D282" s="11" t="s">
        <v>2795</v>
      </c>
      <c r="E282" s="11" t="s">
        <v>2796</v>
      </c>
      <c r="F282" s="11" t="s">
        <v>2797</v>
      </c>
      <c r="G282" s="11" t="s">
        <v>2798</v>
      </c>
      <c r="H282" s="11" t="s">
        <v>2491</v>
      </c>
      <c r="I282" s="11"/>
    </row>
    <row r="283" customFormat="false" ht="15" hidden="false" customHeight="true" outlineLevel="0" collapsed="false">
      <c r="A283" s="11" t="s">
        <v>1423</v>
      </c>
      <c r="B283" s="11" t="s">
        <v>2794</v>
      </c>
      <c r="C283" s="11" t="s">
        <v>388</v>
      </c>
      <c r="D283" s="11" t="s">
        <v>1419</v>
      </c>
      <c r="E283" s="11" t="s">
        <v>1420</v>
      </c>
      <c r="F283" s="11"/>
      <c r="G283" s="11" t="s">
        <v>1421</v>
      </c>
      <c r="H283" s="11" t="s">
        <v>2799</v>
      </c>
      <c r="I283" s="11"/>
    </row>
    <row r="284" customFormat="false" ht="15" hidden="false" customHeight="true" outlineLevel="0" collapsed="false">
      <c r="A284" s="11" t="s">
        <v>717</v>
      </c>
      <c r="B284" s="11" t="s">
        <v>2800</v>
      </c>
      <c r="C284" s="11" t="s">
        <v>388</v>
      </c>
      <c r="D284" s="11" t="s">
        <v>718</v>
      </c>
      <c r="E284" s="11"/>
      <c r="F284" s="11"/>
      <c r="G284" s="11" t="s">
        <v>719</v>
      </c>
      <c r="H284" s="11" t="s">
        <v>2801</v>
      </c>
      <c r="I284" s="11"/>
    </row>
    <row r="285" customFormat="false" ht="15" hidden="false" customHeight="true" outlineLevel="0" collapsed="false">
      <c r="A285" s="11" t="s">
        <v>2802</v>
      </c>
      <c r="B285" s="11" t="s">
        <v>2803</v>
      </c>
      <c r="C285" s="11" t="s">
        <v>388</v>
      </c>
      <c r="D285" s="11" t="s">
        <v>570</v>
      </c>
      <c r="E285" s="11"/>
      <c r="F285" s="11"/>
      <c r="G285" s="11" t="s">
        <v>571</v>
      </c>
      <c r="H285" s="11" t="s">
        <v>2804</v>
      </c>
      <c r="I285" s="11"/>
    </row>
    <row r="286" customFormat="false" ht="15" hidden="false" customHeight="true" outlineLevel="0" collapsed="false">
      <c r="A286" s="11" t="s">
        <v>2805</v>
      </c>
      <c r="B286" s="11" t="s">
        <v>2806</v>
      </c>
      <c r="C286" s="11" t="s">
        <v>388</v>
      </c>
      <c r="D286" s="11"/>
      <c r="E286" s="11"/>
      <c r="F286" s="11"/>
      <c r="G286" s="11" t="s">
        <v>571</v>
      </c>
      <c r="H286" s="11" t="s">
        <v>2801</v>
      </c>
      <c r="I286" s="11"/>
    </row>
    <row r="287" customFormat="false" ht="15" hidden="false" customHeight="true" outlineLevel="0" collapsed="false">
      <c r="A287" s="11" t="s">
        <v>2807</v>
      </c>
      <c r="B287" s="11" t="s">
        <v>2801</v>
      </c>
      <c r="C287" s="11" t="s">
        <v>388</v>
      </c>
      <c r="D287" s="11"/>
      <c r="E287" s="11"/>
      <c r="F287" s="11"/>
      <c r="G287" s="11" t="s">
        <v>571</v>
      </c>
      <c r="H287" s="11" t="s">
        <v>2801</v>
      </c>
      <c r="I287" s="11"/>
    </row>
    <row r="288" customFormat="false" ht="15" hidden="false" customHeight="true" outlineLevel="0" collapsed="false">
      <c r="A288" s="11" t="s">
        <v>2808</v>
      </c>
      <c r="B288" s="11" t="s">
        <v>2809</v>
      </c>
      <c r="C288" s="11" t="s">
        <v>388</v>
      </c>
      <c r="D288" s="11"/>
      <c r="E288" s="11"/>
      <c r="F288" s="11"/>
      <c r="G288" s="11" t="s">
        <v>571</v>
      </c>
      <c r="H288" s="11" t="s">
        <v>2801</v>
      </c>
      <c r="I288" s="11"/>
    </row>
    <row r="289" customFormat="false" ht="15" hidden="false" customHeight="true" outlineLevel="0" collapsed="false">
      <c r="A289" s="11" t="s">
        <v>1299</v>
      </c>
      <c r="B289" s="11" t="s">
        <v>2801</v>
      </c>
      <c r="C289" s="11" t="s">
        <v>388</v>
      </c>
      <c r="D289" s="11"/>
      <c r="E289" s="11"/>
      <c r="F289" s="11"/>
      <c r="G289" s="11" t="s">
        <v>571</v>
      </c>
      <c r="H289" s="11" t="s">
        <v>2801</v>
      </c>
      <c r="I289" s="11"/>
      <c r="J289" s="1" t="s">
        <v>31</v>
      </c>
      <c r="K289" s="1" t="n">
        <f aca="false">'Behovsmodell (75p)'!$B$62</f>
        <v>85559</v>
      </c>
      <c r="L289" s="1" t="n">
        <f aca="false">('Behovsmodell (75p)'!$B$62)/12</f>
        <v>7129.91666666667</v>
      </c>
    </row>
  </sheetData>
  <autoFilter ref="A1:L2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2026-08-16T17:28:50Z</dcterms:created>
  <dc:creator>openpyxl</dc:creator>
  <dc:description/>
  <dc:language>en-US</dc:language>
  <cp:lastModifiedBy/>
  <dcterms:modified xsi:type="dcterms:W3CDTF">2026-08-18T14:19:32Z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